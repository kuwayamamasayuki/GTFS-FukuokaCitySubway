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ropbox\Dropbox\GTFS\FukuokaCitySubway-20190316\2 ツール\3 料金表\"/>
    </mc:Choice>
  </mc:AlternateContent>
  <xr:revisionPtr revIDLastSave="0" documentId="13_ncr:1_{1FFDBF9B-005A-4870-9D75-3CB66B321ED5}" xr6:coauthVersionLast="41" xr6:coauthVersionMax="41" xr10:uidLastSave="{00000000-0000-0000-0000-000000000000}"/>
  <bookViews>
    <workbookView xWindow="7020" yWindow="7020" windowWidth="43200" windowHeight="23535" xr2:uid="{00000000-000D-0000-FFFF-FFFF00000000}"/>
  </bookViews>
  <sheets>
    <sheet name="運賃表入力用" sheetId="1" r:id="rId1"/>
  </sheets>
  <definedNames>
    <definedName name="駅の数">運賃表入力用!$F$42</definedName>
    <definedName name="区の数">運賃表入力用!$F$40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4" i="1" l="1"/>
  <c r="V34" i="1"/>
  <c r="V35" i="1"/>
  <c r="U35" i="1"/>
  <c r="V36" i="1"/>
  <c r="U36" i="1"/>
  <c r="T36" i="1"/>
  <c r="N33" i="1"/>
  <c r="D36" i="1"/>
  <c r="P33" i="1"/>
  <c r="P34" i="1"/>
  <c r="P35" i="1"/>
  <c r="O36" i="1"/>
  <c r="P36" i="1"/>
  <c r="G36" i="1"/>
  <c r="F34" i="1"/>
  <c r="F35" i="1"/>
  <c r="F36" i="1"/>
  <c r="E33" i="1"/>
  <c r="E34" i="1"/>
  <c r="E35" i="1"/>
  <c r="E36" i="1"/>
  <c r="D32" i="1"/>
  <c r="D33" i="1"/>
  <c r="D34" i="1"/>
  <c r="D35" i="1"/>
  <c r="W36" i="1"/>
  <c r="X36" i="1"/>
  <c r="T35" i="1"/>
  <c r="T34" i="1"/>
  <c r="U34" i="1"/>
  <c r="V29" i="1"/>
  <c r="U30" i="1"/>
  <c r="V30" i="1"/>
  <c r="T31" i="1"/>
  <c r="U31" i="1"/>
  <c r="V31" i="1"/>
  <c r="S32" i="1"/>
  <c r="T32" i="1"/>
  <c r="U32" i="1"/>
  <c r="V32" i="1"/>
  <c r="S33" i="1"/>
  <c r="T33" i="1"/>
  <c r="U33" i="1"/>
  <c r="V33" i="1"/>
  <c r="R33" i="1"/>
  <c r="R34" i="1"/>
  <c r="S34" i="1"/>
  <c r="R35" i="1"/>
  <c r="S35" i="1"/>
  <c r="R36" i="1"/>
  <c r="S36" i="1"/>
  <c r="Q34" i="1"/>
  <c r="Q35" i="1"/>
  <c r="Q36" i="1"/>
  <c r="P28" i="1"/>
  <c r="P29" i="1"/>
  <c r="P30" i="1"/>
  <c r="P31" i="1"/>
  <c r="P32" i="1"/>
  <c r="M33" i="1"/>
  <c r="N32" i="1"/>
  <c r="O31" i="1"/>
  <c r="O32" i="1"/>
  <c r="O33" i="1"/>
  <c r="O34" i="1"/>
  <c r="O35" i="1"/>
  <c r="L34" i="1"/>
  <c r="M34" i="1"/>
  <c r="N34" i="1"/>
  <c r="L35" i="1"/>
  <c r="M35" i="1"/>
  <c r="N35" i="1"/>
  <c r="L36" i="1"/>
  <c r="M36" i="1"/>
  <c r="N36" i="1"/>
  <c r="J34" i="1"/>
  <c r="J35" i="1"/>
  <c r="J36" i="1"/>
  <c r="I33" i="1"/>
  <c r="I34" i="1"/>
  <c r="I35" i="1"/>
  <c r="I36" i="1"/>
  <c r="H32" i="1"/>
  <c r="H33" i="1"/>
  <c r="H34" i="1"/>
  <c r="H35" i="1"/>
  <c r="H36" i="1"/>
  <c r="G31" i="1"/>
  <c r="G32" i="1"/>
  <c r="G33" i="1"/>
  <c r="G34" i="1"/>
  <c r="G35" i="1"/>
  <c r="F29" i="1"/>
  <c r="F30" i="1"/>
  <c r="F31" i="1"/>
  <c r="F32" i="1"/>
  <c r="F33" i="1"/>
  <c r="E28" i="1"/>
  <c r="E29" i="1"/>
  <c r="E30" i="1"/>
  <c r="E31" i="1"/>
  <c r="E32" i="1"/>
  <c r="D27" i="1"/>
  <c r="D28" i="1"/>
  <c r="D29" i="1"/>
  <c r="D30" i="1"/>
  <c r="D31" i="1"/>
  <c r="E20" i="1"/>
  <c r="D19" i="1"/>
  <c r="D20" i="1"/>
  <c r="D14" i="1"/>
  <c r="E14" i="1"/>
  <c r="AC36" i="1"/>
  <c r="AB35" i="1"/>
  <c r="AB36" i="1"/>
  <c r="AA34" i="1"/>
  <c r="AA35" i="1"/>
  <c r="AA36" i="1"/>
  <c r="Z33" i="1"/>
  <c r="Z34" i="1"/>
  <c r="Z35" i="1"/>
  <c r="Z36" i="1"/>
  <c r="Y32" i="1"/>
  <c r="Y33" i="1"/>
  <c r="Y34" i="1"/>
  <c r="Y35" i="1"/>
  <c r="Y36" i="1"/>
  <c r="X32" i="1"/>
  <c r="X33" i="1"/>
  <c r="X34" i="1"/>
  <c r="X35" i="1"/>
  <c r="W30" i="1"/>
  <c r="W31" i="1"/>
  <c r="W32" i="1"/>
  <c r="W33" i="1"/>
  <c r="W34" i="1"/>
  <c r="W35" i="1"/>
  <c r="V24" i="1"/>
  <c r="V25" i="1"/>
  <c r="V26" i="1"/>
  <c r="V27" i="1"/>
  <c r="V28" i="1"/>
  <c r="U25" i="1"/>
  <c r="U26" i="1"/>
  <c r="U27" i="1"/>
  <c r="U28" i="1"/>
  <c r="U29" i="1"/>
  <c r="T26" i="1"/>
  <c r="T27" i="1"/>
  <c r="T28" i="1"/>
  <c r="T29" i="1"/>
  <c r="T30" i="1"/>
  <c r="S27" i="1"/>
  <c r="S28" i="1"/>
  <c r="S29" i="1"/>
  <c r="S30" i="1"/>
  <c r="S31" i="1"/>
  <c r="R28" i="1"/>
  <c r="R29" i="1"/>
  <c r="R30" i="1"/>
  <c r="R31" i="1"/>
  <c r="R32" i="1"/>
  <c r="Q29" i="1"/>
  <c r="Q30" i="1"/>
  <c r="Q31" i="1"/>
  <c r="Q32" i="1"/>
  <c r="Q33" i="1"/>
  <c r="P24" i="1"/>
  <c r="P25" i="1"/>
  <c r="P26" i="1"/>
  <c r="P27" i="1"/>
  <c r="O26" i="1"/>
  <c r="O27" i="1"/>
  <c r="O28" i="1"/>
  <c r="O29" i="1"/>
  <c r="O30" i="1"/>
  <c r="N28" i="1"/>
  <c r="N29" i="1"/>
  <c r="N30" i="1"/>
  <c r="N31" i="1"/>
  <c r="M28" i="1"/>
  <c r="M29" i="1"/>
  <c r="M30" i="1"/>
  <c r="M31" i="1"/>
  <c r="M32" i="1"/>
  <c r="L29" i="1"/>
  <c r="L30" i="1"/>
  <c r="L31" i="1"/>
  <c r="L32" i="1"/>
  <c r="L33" i="1"/>
  <c r="J29" i="1"/>
  <c r="J30" i="1"/>
  <c r="J31" i="1"/>
  <c r="J32" i="1"/>
  <c r="J33" i="1"/>
  <c r="I28" i="1"/>
  <c r="I29" i="1"/>
  <c r="I30" i="1"/>
  <c r="I31" i="1"/>
  <c r="I32" i="1"/>
  <c r="H27" i="1"/>
  <c r="H28" i="1"/>
  <c r="H29" i="1"/>
  <c r="H30" i="1"/>
  <c r="H31" i="1"/>
  <c r="G26" i="1"/>
  <c r="G27" i="1"/>
  <c r="G28" i="1"/>
  <c r="G29" i="1"/>
  <c r="G30" i="1"/>
  <c r="F25" i="1"/>
  <c r="F26" i="1"/>
  <c r="F27" i="1"/>
  <c r="F28" i="1"/>
  <c r="E24" i="1"/>
  <c r="E25" i="1"/>
  <c r="E26" i="1"/>
  <c r="E27" i="1"/>
  <c r="D22" i="1"/>
  <c r="D23" i="1"/>
  <c r="D24" i="1"/>
  <c r="D25" i="1"/>
  <c r="D26" i="1"/>
  <c r="P17" i="1"/>
  <c r="P18" i="1"/>
  <c r="P19" i="1"/>
  <c r="P20" i="1"/>
  <c r="O20" i="1"/>
  <c r="I20" i="1"/>
  <c r="H19" i="1"/>
  <c r="H20" i="1"/>
  <c r="G18" i="1"/>
  <c r="G19" i="1"/>
  <c r="G20" i="1"/>
  <c r="F17" i="1"/>
  <c r="F18" i="1"/>
  <c r="F19" i="1"/>
  <c r="F20" i="1"/>
  <c r="E15" i="1"/>
  <c r="E16" i="1"/>
  <c r="E17" i="1"/>
  <c r="E18" i="1"/>
  <c r="E19" i="1"/>
  <c r="D15" i="1"/>
  <c r="D16" i="1"/>
  <c r="D17" i="1"/>
  <c r="D18" i="1"/>
  <c r="H14" i="1"/>
  <c r="I14" i="1"/>
  <c r="G13" i="1"/>
  <c r="G14" i="1"/>
  <c r="F12" i="1"/>
  <c r="F13" i="1"/>
  <c r="F14" i="1"/>
  <c r="AH36" i="1"/>
  <c r="AG35" i="1"/>
  <c r="AG36" i="1"/>
  <c r="AF34" i="1"/>
  <c r="AF35" i="1"/>
  <c r="AF36" i="1"/>
  <c r="AE33" i="1"/>
  <c r="AE34" i="1"/>
  <c r="AE35" i="1"/>
  <c r="AE36" i="1"/>
  <c r="AD32" i="1"/>
  <c r="AD33" i="1"/>
  <c r="AD34" i="1"/>
  <c r="AD35" i="1"/>
  <c r="AD36" i="1"/>
  <c r="AC31" i="1"/>
  <c r="AC32" i="1"/>
  <c r="AC33" i="1"/>
  <c r="AC34" i="1"/>
  <c r="AC35" i="1"/>
  <c r="AB30" i="1"/>
  <c r="AB31" i="1"/>
  <c r="AB32" i="1"/>
  <c r="AB33" i="1"/>
  <c r="AB34" i="1"/>
  <c r="AA29" i="1"/>
  <c r="AA30" i="1"/>
  <c r="AA31" i="1"/>
  <c r="AA32" i="1"/>
  <c r="AA33" i="1"/>
  <c r="Z28" i="1"/>
  <c r="Z29" i="1"/>
  <c r="Z30" i="1"/>
  <c r="Z31" i="1"/>
  <c r="Z32" i="1"/>
  <c r="Y27" i="1"/>
  <c r="Y28" i="1"/>
  <c r="Y29" i="1"/>
  <c r="Y30" i="1"/>
  <c r="Y31" i="1"/>
  <c r="X27" i="1"/>
  <c r="X28" i="1"/>
  <c r="X29" i="1"/>
  <c r="X30" i="1"/>
  <c r="X31" i="1"/>
  <c r="W26" i="1"/>
  <c r="W27" i="1"/>
  <c r="W28" i="1"/>
  <c r="W29" i="1"/>
  <c r="Q28" i="1"/>
  <c r="Q27" i="1"/>
  <c r="R27" i="1"/>
  <c r="Q26" i="1"/>
  <c r="R26" i="1"/>
  <c r="S26" i="1"/>
  <c r="U24" i="1"/>
  <c r="Q24" i="1"/>
  <c r="R24" i="1"/>
  <c r="S24" i="1"/>
  <c r="T24" i="1"/>
  <c r="Q25" i="1"/>
  <c r="R25" i="1"/>
  <c r="S25" i="1"/>
  <c r="T25" i="1"/>
  <c r="R23" i="1"/>
  <c r="S22" i="1"/>
  <c r="T22" i="1"/>
  <c r="U22" i="1"/>
  <c r="V22" i="1"/>
  <c r="S23" i="1"/>
  <c r="T23" i="1"/>
  <c r="U23" i="1"/>
  <c r="V23" i="1"/>
  <c r="N22" i="1"/>
  <c r="O22" i="1"/>
  <c r="P22" i="1"/>
  <c r="N23" i="1"/>
  <c r="O23" i="1"/>
  <c r="P23" i="1"/>
  <c r="M24" i="1"/>
  <c r="N24" i="1"/>
  <c r="O24" i="1"/>
  <c r="O25" i="1"/>
  <c r="L25" i="1"/>
  <c r="M25" i="1"/>
  <c r="N25" i="1"/>
  <c r="L26" i="1"/>
  <c r="M26" i="1"/>
  <c r="N26" i="1"/>
  <c r="L27" i="1"/>
  <c r="M27" i="1"/>
  <c r="N27" i="1"/>
  <c r="L28" i="1"/>
  <c r="J28" i="1"/>
  <c r="I27" i="1"/>
  <c r="J27" i="1"/>
  <c r="H26" i="1"/>
  <c r="I26" i="1"/>
  <c r="J26" i="1"/>
  <c r="G25" i="1"/>
  <c r="H25" i="1"/>
  <c r="I25" i="1"/>
  <c r="J25" i="1"/>
  <c r="F23" i="1"/>
  <c r="G23" i="1"/>
  <c r="H23" i="1"/>
  <c r="I23" i="1"/>
  <c r="F24" i="1"/>
  <c r="G24" i="1"/>
  <c r="H24" i="1"/>
  <c r="I24" i="1"/>
  <c r="E22" i="1"/>
  <c r="F22" i="1"/>
  <c r="G22" i="1"/>
  <c r="H22" i="1"/>
  <c r="E23" i="1"/>
  <c r="O15" i="1"/>
  <c r="P15" i="1"/>
  <c r="O16" i="1"/>
  <c r="P16" i="1"/>
  <c r="M17" i="1"/>
  <c r="N17" i="1"/>
  <c r="O17" i="1"/>
  <c r="M18" i="1"/>
  <c r="N18" i="1"/>
  <c r="O18" i="1"/>
  <c r="M19" i="1"/>
  <c r="N19" i="1"/>
  <c r="O19" i="1"/>
  <c r="J20" i="1"/>
  <c r="K20" i="1"/>
  <c r="L20" i="1"/>
  <c r="M20" i="1"/>
  <c r="N20" i="1"/>
  <c r="I19" i="1"/>
  <c r="J19" i="1"/>
  <c r="K19" i="1"/>
  <c r="L19" i="1"/>
  <c r="H18" i="1"/>
  <c r="I18" i="1"/>
  <c r="J18" i="1"/>
  <c r="K18" i="1"/>
  <c r="G17" i="1"/>
  <c r="H17" i="1"/>
  <c r="I17" i="1"/>
  <c r="J17" i="1"/>
  <c r="F15" i="1"/>
  <c r="G15" i="1"/>
  <c r="H15" i="1"/>
  <c r="I15" i="1"/>
  <c r="F16" i="1"/>
  <c r="G16" i="1"/>
  <c r="H16" i="1"/>
  <c r="I16" i="1"/>
  <c r="L14" i="1"/>
  <c r="M14" i="1"/>
  <c r="N14" i="1"/>
  <c r="K13" i="1"/>
  <c r="K14" i="1"/>
  <c r="J12" i="1"/>
  <c r="J13" i="1"/>
  <c r="J14" i="1"/>
  <c r="I11" i="1"/>
  <c r="I12" i="1"/>
  <c r="I13" i="1"/>
  <c r="H10" i="1"/>
  <c r="H11" i="1"/>
  <c r="H12" i="1"/>
  <c r="H13" i="1"/>
  <c r="G8" i="1"/>
  <c r="G9" i="1"/>
  <c r="G10" i="1"/>
  <c r="G11" i="1"/>
  <c r="G12" i="1"/>
  <c r="F7" i="1"/>
  <c r="F8" i="1"/>
  <c r="F9" i="1"/>
  <c r="F10" i="1"/>
  <c r="F11" i="1"/>
  <c r="E11" i="1"/>
  <c r="E12" i="1"/>
  <c r="E13" i="1"/>
  <c r="D9" i="1"/>
  <c r="D10" i="1"/>
  <c r="D11" i="1"/>
  <c r="D12" i="1"/>
  <c r="D13" i="1"/>
  <c r="E6" i="1"/>
  <c r="E7" i="1"/>
  <c r="E8" i="1"/>
  <c r="E9" i="1"/>
  <c r="E10" i="1"/>
  <c r="D5" i="1"/>
  <c r="D6" i="1"/>
  <c r="D7" i="1"/>
  <c r="D8" i="1"/>
  <c r="L24" i="1"/>
  <c r="M23" i="1"/>
  <c r="L23" i="1"/>
  <c r="M22" i="1"/>
  <c r="L22" i="1"/>
  <c r="J24" i="1"/>
  <c r="J23" i="1"/>
  <c r="J22" i="1"/>
  <c r="I22" i="1"/>
  <c r="AK36" i="1"/>
  <c r="AJ36" i="1"/>
  <c r="AJ35" i="1"/>
  <c r="AI36" i="1"/>
  <c r="AI35" i="1"/>
  <c r="AI34" i="1"/>
  <c r="AH35" i="1"/>
  <c r="AH34" i="1"/>
  <c r="AH33" i="1"/>
  <c r="AG34" i="1"/>
  <c r="AG33" i="1"/>
  <c r="AG32" i="1"/>
  <c r="AF33" i="1"/>
  <c r="AF32" i="1"/>
  <c r="AF31" i="1"/>
  <c r="AE32" i="1"/>
  <c r="AE31" i="1"/>
  <c r="AE30" i="1"/>
  <c r="AD31" i="1"/>
  <c r="AD30" i="1"/>
  <c r="AD29" i="1"/>
  <c r="AC30" i="1"/>
  <c r="AC29" i="1"/>
  <c r="AC28" i="1"/>
  <c r="AB29" i="1"/>
  <c r="AB28" i="1"/>
  <c r="AB27" i="1"/>
  <c r="AA28" i="1"/>
  <c r="AA27" i="1"/>
  <c r="AA26" i="1"/>
  <c r="Z27" i="1"/>
  <c r="Z26" i="1"/>
  <c r="Z25" i="1"/>
  <c r="Y26" i="1"/>
  <c r="Y25" i="1"/>
  <c r="Y24" i="1"/>
  <c r="X26" i="1"/>
  <c r="X25" i="1"/>
  <c r="X24" i="1"/>
  <c r="X23" i="1"/>
  <c r="W25" i="1"/>
  <c r="W24" i="1"/>
  <c r="W23" i="1"/>
  <c r="W22" i="1"/>
  <c r="U20" i="1"/>
  <c r="T20" i="1"/>
  <c r="T19" i="1"/>
  <c r="S20" i="1"/>
  <c r="S19" i="1"/>
  <c r="S18" i="1"/>
  <c r="R19" i="1"/>
  <c r="R18" i="1"/>
  <c r="R17" i="1"/>
  <c r="Q18" i="1"/>
  <c r="Q17" i="1"/>
  <c r="Q16" i="1"/>
  <c r="K17" i="1"/>
  <c r="L18" i="1"/>
  <c r="L17" i="1"/>
  <c r="N16" i="1"/>
  <c r="M16" i="1"/>
  <c r="L16" i="1"/>
  <c r="K16" i="1"/>
  <c r="J16" i="1"/>
  <c r="N15" i="1"/>
  <c r="M15" i="1"/>
  <c r="L15" i="1"/>
  <c r="K15" i="1"/>
  <c r="J15" i="1"/>
  <c r="N13" i="1"/>
  <c r="M13" i="1"/>
  <c r="M12" i="1"/>
  <c r="L13" i="1"/>
  <c r="L12" i="1"/>
  <c r="L11" i="1"/>
  <c r="K12" i="1"/>
  <c r="K11" i="1"/>
  <c r="K10" i="1"/>
  <c r="J11" i="1"/>
  <c r="J10" i="1"/>
  <c r="J9" i="1"/>
  <c r="I10" i="1"/>
  <c r="I9" i="1"/>
  <c r="I8" i="1"/>
  <c r="H9" i="1"/>
  <c r="H8" i="1"/>
  <c r="H7" i="1"/>
  <c r="G7" i="1"/>
  <c r="G6" i="1"/>
  <c r="F6" i="1"/>
  <c r="F5" i="1"/>
  <c r="E5" i="1"/>
  <c r="E4" i="1"/>
  <c r="D4" i="1"/>
  <c r="D3" i="1"/>
</calcChain>
</file>

<file path=xl/sharedStrings.xml><?xml version="1.0" encoding="utf-8"?>
<sst xmlns="http://schemas.openxmlformats.org/spreadsheetml/2006/main" count="79" uniqueCount="51">
  <si>
    <t>姪浜</t>
    <rPh sb="0" eb="2">
      <t>メイノハマ</t>
    </rPh>
    <phoneticPr fontId="3"/>
  </si>
  <si>
    <t>室見</t>
    <rPh sb="0" eb="2">
      <t>ムロミ</t>
    </rPh>
    <phoneticPr fontId="3"/>
  </si>
  <si>
    <t>藤崎</t>
    <rPh sb="0" eb="2">
      <t>フジサキ</t>
    </rPh>
    <phoneticPr fontId="3"/>
  </si>
  <si>
    <t>西新</t>
    <rPh sb="0" eb="2">
      <t>ニシジン</t>
    </rPh>
    <phoneticPr fontId="3"/>
  </si>
  <si>
    <t>唐人町</t>
    <rPh sb="0" eb="3">
      <t>トウジンマチ</t>
    </rPh>
    <phoneticPr fontId="3"/>
  </si>
  <si>
    <t>大濠公園</t>
    <rPh sb="0" eb="4">
      <t>オオホリコウエン</t>
    </rPh>
    <phoneticPr fontId="3"/>
  </si>
  <si>
    <t>赤坂</t>
    <rPh sb="0" eb="2">
      <t>アカサカ</t>
    </rPh>
    <phoneticPr fontId="3"/>
  </si>
  <si>
    <t>天神</t>
    <rPh sb="0" eb="2">
      <t>テンジン</t>
    </rPh>
    <phoneticPr fontId="3"/>
  </si>
  <si>
    <t>中洲川端</t>
    <rPh sb="0" eb="4">
      <t>ナカスカワバタ</t>
    </rPh>
    <phoneticPr fontId="3"/>
  </si>
  <si>
    <t>博多</t>
    <rPh sb="0" eb="2">
      <t>ハカタ</t>
    </rPh>
    <phoneticPr fontId="3"/>
  </si>
  <si>
    <t>東比恵</t>
    <rPh sb="0" eb="3">
      <t>ヒガシヒエ</t>
    </rPh>
    <phoneticPr fontId="3"/>
  </si>
  <si>
    <t>福岡空港</t>
    <rPh sb="0" eb="2">
      <t>フクオカ</t>
    </rPh>
    <rPh sb="2" eb="4">
      <t>クウコウ</t>
    </rPh>
    <phoneticPr fontId="3"/>
  </si>
  <si>
    <t>呉服町</t>
    <rPh sb="0" eb="3">
      <t>ゴフクマチ</t>
    </rPh>
    <phoneticPr fontId="3"/>
  </si>
  <si>
    <t>千代県庁口</t>
    <rPh sb="0" eb="5">
      <t>チヨケンチョウグチ</t>
    </rPh>
    <phoneticPr fontId="3"/>
  </si>
  <si>
    <t>馬出九大病院前</t>
    <rPh sb="0" eb="1">
      <t>ウマ</t>
    </rPh>
    <rPh sb="1" eb="2">
      <t>デ</t>
    </rPh>
    <rPh sb="2" eb="4">
      <t>キュウダイ</t>
    </rPh>
    <rPh sb="4" eb="6">
      <t>ビョウイン</t>
    </rPh>
    <rPh sb="6" eb="7">
      <t>マエ</t>
    </rPh>
    <phoneticPr fontId="3"/>
  </si>
  <si>
    <t>箱崎宮前</t>
    <rPh sb="0" eb="2">
      <t>ハコザキ</t>
    </rPh>
    <rPh sb="2" eb="4">
      <t>ミヤマエ</t>
    </rPh>
    <phoneticPr fontId="3"/>
  </si>
  <si>
    <t>箱崎九大前</t>
    <rPh sb="0" eb="2">
      <t>ハコザキ</t>
    </rPh>
    <rPh sb="2" eb="4">
      <t>キュウダイ</t>
    </rPh>
    <rPh sb="4" eb="5">
      <t>マエ</t>
    </rPh>
    <phoneticPr fontId="3"/>
  </si>
  <si>
    <t>貝塚</t>
    <rPh sb="0" eb="2">
      <t>カイヅカ</t>
    </rPh>
    <phoneticPr fontId="3"/>
  </si>
  <si>
    <t>-</t>
    <phoneticPr fontId="3"/>
  </si>
  <si>
    <t>-</t>
    <phoneticPr fontId="3"/>
  </si>
  <si>
    <t>天神南</t>
    <rPh sb="0" eb="2">
      <t>テンジン</t>
    </rPh>
    <rPh sb="2" eb="3">
      <t>ミナミ</t>
    </rPh>
    <phoneticPr fontId="3"/>
  </si>
  <si>
    <t>-</t>
    <phoneticPr fontId="3"/>
  </si>
  <si>
    <t>渡辺通</t>
    <rPh sb="0" eb="2">
      <t>ワタナベ</t>
    </rPh>
    <rPh sb="2" eb="3">
      <t>ツウ</t>
    </rPh>
    <phoneticPr fontId="3"/>
  </si>
  <si>
    <t>-</t>
    <phoneticPr fontId="3"/>
  </si>
  <si>
    <t>薬院</t>
    <rPh sb="0" eb="1">
      <t>ヤク</t>
    </rPh>
    <rPh sb="1" eb="2">
      <t>イン</t>
    </rPh>
    <phoneticPr fontId="3"/>
  </si>
  <si>
    <t>-</t>
    <phoneticPr fontId="3"/>
  </si>
  <si>
    <t>薬院大通</t>
    <rPh sb="0" eb="1">
      <t>ヤク</t>
    </rPh>
    <rPh sb="1" eb="2">
      <t>イン</t>
    </rPh>
    <rPh sb="2" eb="3">
      <t>ダイ</t>
    </rPh>
    <rPh sb="3" eb="4">
      <t>ツウ</t>
    </rPh>
    <phoneticPr fontId="3"/>
  </si>
  <si>
    <t>桜坂</t>
    <rPh sb="0" eb="1">
      <t>サクラ</t>
    </rPh>
    <rPh sb="1" eb="2">
      <t>ザカ</t>
    </rPh>
    <phoneticPr fontId="3"/>
  </si>
  <si>
    <t>六本松</t>
    <rPh sb="0" eb="3">
      <t>ロッポンマツ</t>
    </rPh>
    <phoneticPr fontId="3"/>
  </si>
  <si>
    <t>別府</t>
    <rPh sb="0" eb="2">
      <t>ベフ</t>
    </rPh>
    <phoneticPr fontId="3"/>
  </si>
  <si>
    <t>-</t>
    <phoneticPr fontId="3"/>
  </si>
  <si>
    <t>茶山</t>
    <rPh sb="0" eb="1">
      <t>チャ</t>
    </rPh>
    <rPh sb="1" eb="2">
      <t>ヤマ</t>
    </rPh>
    <phoneticPr fontId="3"/>
  </si>
  <si>
    <t>金山</t>
    <rPh sb="0" eb="2">
      <t>カネヤマ</t>
    </rPh>
    <phoneticPr fontId="3"/>
  </si>
  <si>
    <t>七隈</t>
    <rPh sb="0" eb="1">
      <t>ナナ</t>
    </rPh>
    <rPh sb="1" eb="2">
      <t>クマ</t>
    </rPh>
    <phoneticPr fontId="3"/>
  </si>
  <si>
    <t>福大前</t>
    <rPh sb="0" eb="2">
      <t>フクダイ</t>
    </rPh>
    <rPh sb="2" eb="3">
      <t>マエ</t>
    </rPh>
    <phoneticPr fontId="3"/>
  </si>
  <si>
    <t>梅林</t>
    <rPh sb="0" eb="2">
      <t>ウメバヤシ</t>
    </rPh>
    <phoneticPr fontId="3"/>
  </si>
  <si>
    <t>野芥</t>
    <rPh sb="0" eb="1">
      <t>ノ</t>
    </rPh>
    <rPh sb="1" eb="2">
      <t>カイ</t>
    </rPh>
    <phoneticPr fontId="3"/>
  </si>
  <si>
    <t>賀茂</t>
    <rPh sb="0" eb="1">
      <t>ガ</t>
    </rPh>
    <rPh sb="1" eb="2">
      <t>シゲル</t>
    </rPh>
    <phoneticPr fontId="3"/>
  </si>
  <si>
    <t>次郎丸</t>
    <rPh sb="0" eb="3">
      <t>ジロウマル</t>
    </rPh>
    <phoneticPr fontId="3"/>
  </si>
  <si>
    <t>橋本</t>
    <rPh sb="0" eb="2">
      <t>ハシモト</t>
    </rPh>
    <phoneticPr fontId="3"/>
  </si>
  <si>
    <t>1区</t>
    <rPh sb="1" eb="2">
      <t>ク</t>
    </rPh>
    <phoneticPr fontId="2"/>
  </si>
  <si>
    <t>2区</t>
    <rPh sb="1" eb="2">
      <t>ク</t>
    </rPh>
    <phoneticPr fontId="2"/>
  </si>
  <si>
    <t>3区</t>
    <rPh sb="1" eb="2">
      <t>ク</t>
    </rPh>
    <phoneticPr fontId="2"/>
  </si>
  <si>
    <t>4区</t>
    <rPh sb="1" eb="2">
      <t>ク</t>
    </rPh>
    <phoneticPr fontId="2"/>
  </si>
  <si>
    <t>5区</t>
    <rPh sb="1" eb="2">
      <t>ク</t>
    </rPh>
    <phoneticPr fontId="2"/>
  </si>
  <si>
    <t>6区</t>
    <rPh sb="1" eb="2">
      <t>ク</t>
    </rPh>
    <phoneticPr fontId="2"/>
  </si>
  <si>
    <t>祇園</t>
    <rPh sb="0" eb="2">
      <t>ギオン</t>
    </rPh>
    <phoneticPr fontId="3"/>
  </si>
  <si>
    <t>↑ここの数字を変更すると，右の表に反映されます。</t>
    <rPh sb="4" eb="6">
      <t>スウジ</t>
    </rPh>
    <rPh sb="7" eb="9">
      <t>ヘンコウ</t>
    </rPh>
    <rPh sb="13" eb="14">
      <t>ミギ</t>
    </rPh>
    <rPh sb="15" eb="16">
      <t>ヒョウ</t>
    </rPh>
    <rPh sb="17" eb="19">
      <t>ハンエイ</t>
    </rPh>
    <phoneticPr fontId="2"/>
  </si>
  <si>
    <t>表１</t>
    <rPh sb="0" eb="1">
      <t>ヒョウ</t>
    </rPh>
    <phoneticPr fontId="2"/>
  </si>
  <si>
    <t>表２</t>
    <rPh sb="0" eb="1">
      <t>ヒョウ</t>
    </rPh>
    <phoneticPr fontId="2"/>
  </si>
  <si>
    <t>駅の数</t>
    <rPh sb="0" eb="1">
      <t>エキ</t>
    </rPh>
    <rPh sb="2" eb="3">
      <t>カズ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</si>
</sst>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;[Red]0.0"/>
    <numFmt numFmtId="177" formatCode="0_);\(0\)"/>
  </numFmts>
  <fonts count="6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sz val="6"/>
      <name val="ＭＳ Ｐゴシック"/>
      <family val="3"/>
      <charset val="128"/>
    </font>
    <font>
      <sz val="10"/>
      <color theme="1"/>
      <name val="ＭＳ Ｐゴシック"/>
      <family val="2"/>
      <scheme val="minor"/>
    </font>
    <font>
      <sz val="10"/>
      <name val="ＭＳ Ｐ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4"/>
        <bgColor indexed="46"/>
      </patternFill>
    </fill>
    <fill>
      <patternFill patternType="solid">
        <fgColor indexed="42"/>
        <bgColor indexed="64"/>
      </patternFill>
    </fill>
    <fill>
      <patternFill patternType="solid">
        <fgColor indexed="57"/>
        <bgColor indexed="64"/>
      </patternFill>
    </fill>
  </fills>
  <borders count="5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38" fontId="1" fillId="0" borderId="0" applyFont="0" applyFill="0" applyBorder="0" applyAlignment="0" applyProtection="0">
      <alignment vertical="center"/>
    </xf>
  </cellStyleXfs>
  <cellXfs count="182">
    <xf numFmtId="0" fontId="0" fillId="0" borderId="0" xfId="0"/>
    <xf numFmtId="0" fontId="4" fillId="0" borderId="0" xfId="0" applyFont="1"/>
    <xf numFmtId="176" fontId="5" fillId="0" borderId="1" xfId="0" applyNumberFormat="1" applyFont="1" applyBorder="1" applyAlignment="1">
      <alignment horizontal="center" vertical="center" shrinkToFit="1"/>
    </xf>
    <xf numFmtId="176" fontId="5" fillId="0" borderId="2" xfId="0" applyNumberFormat="1" applyFont="1" applyBorder="1" applyAlignment="1">
      <alignment vertical="center"/>
    </xf>
    <xf numFmtId="176" fontId="5" fillId="0" borderId="3" xfId="0" applyNumberFormat="1" applyFont="1" applyBorder="1" applyAlignment="1">
      <alignment vertical="center"/>
    </xf>
    <xf numFmtId="176" fontId="5" fillId="0" borderId="4" xfId="0" applyNumberFormat="1" applyFont="1" applyBorder="1" applyAlignment="1">
      <alignment vertical="center"/>
    </xf>
    <xf numFmtId="176" fontId="5" fillId="0" borderId="5" xfId="0" applyNumberFormat="1" applyFont="1" applyBorder="1" applyAlignment="1">
      <alignment vertical="center"/>
    </xf>
    <xf numFmtId="176" fontId="5" fillId="0" borderId="6" xfId="0" applyNumberFormat="1" applyFont="1" applyBorder="1" applyAlignment="1">
      <alignment vertical="center"/>
    </xf>
    <xf numFmtId="176" fontId="5" fillId="0" borderId="7" xfId="0" applyNumberFormat="1" applyFont="1" applyBorder="1" applyAlignment="1">
      <alignment vertical="center"/>
    </xf>
    <xf numFmtId="176" fontId="5" fillId="0" borderId="9" xfId="0" applyNumberFormat="1" applyFont="1" applyBorder="1" applyAlignment="1">
      <alignment vertical="center"/>
    </xf>
    <xf numFmtId="176" fontId="5" fillId="0" borderId="10" xfId="0" applyNumberFormat="1" applyFont="1" applyBorder="1" applyAlignment="1">
      <alignment vertical="center"/>
    </xf>
    <xf numFmtId="176" fontId="5" fillId="0" borderId="11" xfId="0" applyNumberFormat="1" applyFont="1" applyBorder="1" applyAlignment="1">
      <alignment vertical="center"/>
    </xf>
    <xf numFmtId="176" fontId="5" fillId="0" borderId="14" xfId="0" applyNumberFormat="1" applyFont="1" applyBorder="1" applyAlignment="1">
      <alignment vertical="center"/>
    </xf>
    <xf numFmtId="177" fontId="5" fillId="0" borderId="1" xfId="0" applyNumberFormat="1" applyFont="1" applyBorder="1" applyAlignment="1">
      <alignment horizontal="center" vertical="center" shrinkToFit="1"/>
    </xf>
    <xf numFmtId="176" fontId="5" fillId="0" borderId="27" xfId="0" applyNumberFormat="1" applyFont="1" applyBorder="1" applyAlignment="1">
      <alignment horizontal="center" vertical="center" shrinkToFit="1"/>
    </xf>
    <xf numFmtId="176" fontId="5" fillId="0" borderId="52" xfId="0" applyNumberFormat="1" applyFont="1" applyBorder="1" applyAlignment="1">
      <alignment vertical="center"/>
    </xf>
    <xf numFmtId="38" fontId="5" fillId="3" borderId="17" xfId="1" applyFont="1" applyFill="1" applyBorder="1" applyAlignment="1">
      <alignment horizontal="center" vertical="center"/>
    </xf>
    <xf numFmtId="38" fontId="5" fillId="3" borderId="12" xfId="1" applyFont="1" applyFill="1" applyBorder="1" applyAlignment="1">
      <alignment horizontal="center" vertical="center"/>
    </xf>
    <xf numFmtId="38" fontId="5" fillId="4" borderId="15" xfId="1" applyFont="1" applyFill="1" applyBorder="1" applyAlignment="1">
      <alignment horizontal="center" vertical="center"/>
    </xf>
    <xf numFmtId="38" fontId="5" fillId="4" borderId="17" xfId="1" applyFont="1" applyFill="1" applyBorder="1" applyAlignment="1">
      <alignment horizontal="center" vertical="center"/>
    </xf>
    <xf numFmtId="38" fontId="5" fillId="4" borderId="12" xfId="1" applyFont="1" applyFill="1" applyBorder="1" applyAlignment="1">
      <alignment horizontal="center" vertical="center"/>
    </xf>
    <xf numFmtId="38" fontId="5" fillId="5" borderId="25" xfId="1" applyFont="1" applyFill="1" applyBorder="1" applyAlignment="1">
      <alignment horizontal="center" vertical="center"/>
    </xf>
    <xf numFmtId="38" fontId="5" fillId="4" borderId="28" xfId="1" applyFont="1" applyFill="1" applyBorder="1" applyAlignment="1">
      <alignment horizontal="center" vertical="center"/>
    </xf>
    <xf numFmtId="38" fontId="5" fillId="5" borderId="15" xfId="1" applyFont="1" applyFill="1" applyBorder="1" applyAlignment="1">
      <alignment horizontal="center" vertical="center"/>
    </xf>
    <xf numFmtId="38" fontId="5" fillId="5" borderId="12" xfId="1" applyFont="1" applyFill="1" applyBorder="1" applyAlignment="1">
      <alignment horizontal="center" vertical="center"/>
    </xf>
    <xf numFmtId="38" fontId="5" fillId="0" borderId="38" xfId="1" applyFont="1" applyBorder="1" applyAlignment="1">
      <alignment horizontal="center" vertical="center"/>
    </xf>
    <xf numFmtId="38" fontId="5" fillId="6" borderId="41" xfId="1" applyFont="1" applyFill="1" applyBorder="1" applyAlignment="1">
      <alignment horizontal="center" vertical="center"/>
    </xf>
    <xf numFmtId="38" fontId="5" fillId="6" borderId="17" xfId="1" applyFont="1" applyFill="1" applyBorder="1" applyAlignment="1">
      <alignment horizontal="center" vertical="center"/>
    </xf>
    <xf numFmtId="38" fontId="5" fillId="6" borderId="12" xfId="1" applyFont="1" applyFill="1" applyBorder="1" applyAlignment="1">
      <alignment horizontal="center" vertical="center"/>
    </xf>
    <xf numFmtId="38" fontId="5" fillId="5" borderId="17" xfId="1" applyFont="1" applyFill="1" applyBorder="1" applyAlignment="1">
      <alignment horizontal="center" vertical="center"/>
    </xf>
    <xf numFmtId="38" fontId="5" fillId="7" borderId="15" xfId="1" applyFont="1" applyFill="1" applyBorder="1" applyAlignment="1">
      <alignment horizontal="center" vertical="center"/>
    </xf>
    <xf numFmtId="38" fontId="5" fillId="7" borderId="17" xfId="1" applyFont="1" applyFill="1" applyBorder="1" applyAlignment="1">
      <alignment horizontal="center" vertical="center"/>
    </xf>
    <xf numFmtId="38" fontId="5" fillId="7" borderId="12" xfId="1" applyFont="1" applyFill="1" applyBorder="1" applyAlignment="1">
      <alignment horizontal="center" vertical="center"/>
    </xf>
    <xf numFmtId="38" fontId="5" fillId="8" borderId="27" xfId="1" applyFont="1" applyFill="1" applyBorder="1" applyAlignment="1">
      <alignment horizontal="center" vertical="center" wrapText="1"/>
    </xf>
    <xf numFmtId="38" fontId="5" fillId="3" borderId="18" xfId="1" applyFont="1" applyFill="1" applyBorder="1" applyAlignment="1">
      <alignment horizontal="center" vertical="center"/>
    </xf>
    <xf numFmtId="38" fontId="5" fillId="3" borderId="10" xfId="1" applyFont="1" applyFill="1" applyBorder="1" applyAlignment="1">
      <alignment horizontal="center" vertical="center"/>
    </xf>
    <xf numFmtId="38" fontId="5" fillId="3" borderId="20" xfId="1" applyFont="1" applyFill="1" applyBorder="1" applyAlignment="1">
      <alignment horizontal="center" vertical="center"/>
    </xf>
    <xf numFmtId="38" fontId="5" fillId="3" borderId="22" xfId="1" applyFont="1" applyFill="1" applyBorder="1" applyAlignment="1">
      <alignment horizontal="center" vertical="center"/>
    </xf>
    <xf numFmtId="38" fontId="5" fillId="4" borderId="18" xfId="1" applyFont="1" applyFill="1" applyBorder="1" applyAlignment="1">
      <alignment horizontal="center" vertical="center"/>
    </xf>
    <xf numFmtId="38" fontId="5" fillId="4" borderId="10" xfId="1" applyFont="1" applyFill="1" applyBorder="1" applyAlignment="1">
      <alignment horizontal="center" vertical="center"/>
    </xf>
    <xf numFmtId="38" fontId="5" fillId="4" borderId="23" xfId="1" applyFont="1" applyFill="1" applyBorder="1" applyAlignment="1">
      <alignment horizontal="center" vertical="center"/>
    </xf>
    <xf numFmtId="38" fontId="5" fillId="5" borderId="7" xfId="1" applyFont="1" applyFill="1" applyBorder="1" applyAlignment="1">
      <alignment horizontal="center" vertical="top" wrapText="1" shrinkToFit="1"/>
    </xf>
    <xf numFmtId="38" fontId="5" fillId="4" borderId="21" xfId="1" applyFont="1" applyFill="1" applyBorder="1" applyAlignment="1">
      <alignment horizontal="center" vertical="center"/>
    </xf>
    <xf numFmtId="38" fontId="5" fillId="4" borderId="9" xfId="1" applyFont="1" applyFill="1" applyBorder="1" applyAlignment="1">
      <alignment horizontal="center" vertical="center"/>
    </xf>
    <xf numFmtId="38" fontId="5" fillId="5" borderId="7" xfId="1" applyFont="1" applyFill="1" applyBorder="1" applyAlignment="1">
      <alignment horizontal="center" vertical="center"/>
    </xf>
    <xf numFmtId="38" fontId="5" fillId="0" borderId="26" xfId="1" applyFont="1" applyBorder="1" applyAlignment="1">
      <alignment horizontal="center" vertical="center"/>
    </xf>
    <xf numFmtId="38" fontId="5" fillId="3" borderId="42" xfId="1" applyFont="1" applyFill="1" applyBorder="1" applyAlignment="1">
      <alignment horizontal="center" vertical="center"/>
    </xf>
    <xf numFmtId="38" fontId="5" fillId="6" borderId="18" xfId="1" applyFont="1" applyFill="1" applyBorder="1" applyAlignment="1">
      <alignment horizontal="center" vertical="center"/>
    </xf>
    <xf numFmtId="38" fontId="5" fillId="6" borderId="10" xfId="1" applyFont="1" applyFill="1" applyBorder="1" applyAlignment="1">
      <alignment horizontal="center" vertical="center"/>
    </xf>
    <xf numFmtId="38" fontId="5" fillId="6" borderId="9" xfId="1" applyFont="1" applyFill="1" applyBorder="1" applyAlignment="1">
      <alignment horizontal="center" vertical="center"/>
    </xf>
    <xf numFmtId="38" fontId="5" fillId="5" borderId="18" xfId="1" applyFont="1" applyFill="1" applyBorder="1" applyAlignment="1">
      <alignment horizontal="center" vertical="center"/>
    </xf>
    <xf numFmtId="38" fontId="5" fillId="5" borderId="10" xfId="1" applyFont="1" applyFill="1" applyBorder="1" applyAlignment="1">
      <alignment horizontal="center" vertical="center"/>
    </xf>
    <xf numFmtId="38" fontId="5" fillId="5" borderId="9" xfId="1" applyFont="1" applyFill="1" applyBorder="1" applyAlignment="1">
      <alignment horizontal="center" vertical="center"/>
    </xf>
    <xf numFmtId="38" fontId="5" fillId="7" borderId="18" xfId="1" applyFont="1" applyFill="1" applyBorder="1" applyAlignment="1">
      <alignment horizontal="center" vertical="center"/>
    </xf>
    <xf numFmtId="38" fontId="5" fillId="7" borderId="10" xfId="1" applyFont="1" applyFill="1" applyBorder="1" applyAlignment="1">
      <alignment horizontal="center" vertical="center"/>
    </xf>
    <xf numFmtId="38" fontId="5" fillId="7" borderId="53" xfId="1" applyFont="1" applyFill="1" applyBorder="1" applyAlignment="1">
      <alignment horizontal="center" vertical="top"/>
    </xf>
    <xf numFmtId="38" fontId="5" fillId="2" borderId="9" xfId="1" applyFont="1" applyFill="1" applyBorder="1" applyAlignment="1">
      <alignment horizontal="center" vertical="center"/>
    </xf>
    <xf numFmtId="38" fontId="5" fillId="3" borderId="19" xfId="1" applyFont="1" applyFill="1" applyBorder="1" applyAlignment="1">
      <alignment horizontal="center" vertical="center"/>
    </xf>
    <xf numFmtId="38" fontId="5" fillId="3" borderId="20" xfId="1" applyFont="1" applyFill="1" applyBorder="1" applyAlignment="1">
      <alignment horizontal="center" vertical="top"/>
    </xf>
    <xf numFmtId="38" fontId="5" fillId="3" borderId="9" xfId="1" applyFont="1" applyFill="1" applyBorder="1" applyAlignment="1">
      <alignment horizontal="center" vertical="center"/>
    </xf>
    <xf numFmtId="38" fontId="5" fillId="4" borderId="19" xfId="1" applyFont="1" applyFill="1" applyBorder="1" applyAlignment="1">
      <alignment horizontal="center" vertical="center"/>
    </xf>
    <xf numFmtId="38" fontId="5" fillId="4" borderId="20" xfId="1" applyFont="1" applyFill="1" applyBorder="1" applyAlignment="1">
      <alignment horizontal="center" vertical="center"/>
    </xf>
    <xf numFmtId="38" fontId="5" fillId="3" borderId="29" xfId="1" applyFont="1" applyFill="1" applyBorder="1" applyAlignment="1">
      <alignment horizontal="center" vertical="center"/>
    </xf>
    <xf numFmtId="38" fontId="5" fillId="4" borderId="9" xfId="1" applyFont="1" applyFill="1" applyBorder="1" applyAlignment="1">
      <alignment horizontal="center" vertical="top"/>
    </xf>
    <xf numFmtId="38" fontId="5" fillId="0" borderId="39" xfId="1" applyFont="1" applyBorder="1" applyAlignment="1">
      <alignment horizontal="center" vertical="center"/>
    </xf>
    <xf numFmtId="38" fontId="5" fillId="6" borderId="19" xfId="1" applyFont="1" applyFill="1" applyBorder="1" applyAlignment="1">
      <alignment horizontal="center" vertical="center"/>
    </xf>
    <xf numFmtId="38" fontId="5" fillId="6" borderId="20" xfId="1" applyFont="1" applyFill="1" applyBorder="1" applyAlignment="1">
      <alignment horizontal="center" vertical="center"/>
    </xf>
    <xf numFmtId="38" fontId="5" fillId="5" borderId="19" xfId="1" applyFont="1" applyFill="1" applyBorder="1" applyAlignment="1">
      <alignment horizontal="center" vertical="center"/>
    </xf>
    <xf numFmtId="38" fontId="5" fillId="5" borderId="51" xfId="1" applyFont="1" applyFill="1" applyBorder="1" applyAlignment="1">
      <alignment horizontal="center" vertical="center"/>
    </xf>
    <xf numFmtId="38" fontId="5" fillId="5" borderId="20" xfId="1" applyFont="1" applyFill="1" applyBorder="1" applyAlignment="1">
      <alignment horizontal="center" vertical="center"/>
    </xf>
    <xf numFmtId="38" fontId="5" fillId="7" borderId="19" xfId="1" applyFont="1" applyFill="1" applyBorder="1" applyAlignment="1">
      <alignment horizontal="center" vertical="center"/>
    </xf>
    <xf numFmtId="38" fontId="5" fillId="7" borderId="51" xfId="1" applyFont="1" applyFill="1" applyBorder="1" applyAlignment="1">
      <alignment horizontal="center" vertical="center"/>
    </xf>
    <xf numFmtId="38" fontId="5" fillId="7" borderId="54" xfId="1" applyFont="1" applyFill="1" applyBorder="1" applyAlignment="1">
      <alignment horizontal="center" vertical="center"/>
    </xf>
    <xf numFmtId="38" fontId="5" fillId="2" borderId="13" xfId="1" applyFont="1" applyFill="1" applyBorder="1" applyAlignment="1">
      <alignment horizontal="center" vertical="center"/>
    </xf>
    <xf numFmtId="38" fontId="5" fillId="3" borderId="21" xfId="1" applyFont="1" applyFill="1" applyBorder="1" applyAlignment="1">
      <alignment horizontal="center" vertical="center"/>
    </xf>
    <xf numFmtId="38" fontId="5" fillId="3" borderId="5" xfId="1" applyFont="1" applyFill="1" applyBorder="1" applyAlignment="1">
      <alignment horizontal="center" vertical="center"/>
    </xf>
    <xf numFmtId="38" fontId="5" fillId="3" borderId="43" xfId="1" applyFont="1" applyFill="1" applyBorder="1" applyAlignment="1">
      <alignment horizontal="center" vertical="center"/>
    </xf>
    <xf numFmtId="38" fontId="5" fillId="7" borderId="40" xfId="1" applyFont="1" applyFill="1" applyBorder="1" applyAlignment="1">
      <alignment horizontal="center" vertical="center"/>
    </xf>
    <xf numFmtId="38" fontId="5" fillId="2" borderId="20" xfId="1" applyFont="1" applyFill="1" applyBorder="1" applyAlignment="1">
      <alignment horizontal="center" vertical="center"/>
    </xf>
    <xf numFmtId="38" fontId="5" fillId="2" borderId="22" xfId="1" applyFont="1" applyFill="1" applyBorder="1" applyAlignment="1">
      <alignment horizontal="center" vertical="center"/>
    </xf>
    <xf numFmtId="38" fontId="5" fillId="4" borderId="26" xfId="1" applyFont="1" applyFill="1" applyBorder="1" applyAlignment="1">
      <alignment horizontal="center" vertical="center"/>
    </xf>
    <xf numFmtId="38" fontId="5" fillId="3" borderId="9" xfId="1" applyFont="1" applyFill="1" applyBorder="1" applyAlignment="1">
      <alignment horizontal="center" vertical="top"/>
    </xf>
    <xf numFmtId="38" fontId="5" fillId="3" borderId="44" xfId="1" applyFont="1" applyFill="1" applyBorder="1" applyAlignment="1">
      <alignment horizontal="center" vertical="center"/>
    </xf>
    <xf numFmtId="38" fontId="5" fillId="3" borderId="10" xfId="1" applyFont="1" applyFill="1" applyBorder="1" applyAlignment="1">
      <alignment horizontal="center" vertical="top"/>
    </xf>
    <xf numFmtId="38" fontId="5" fillId="6" borderId="10" xfId="1" applyFont="1" applyFill="1" applyBorder="1" applyAlignment="1">
      <alignment horizontal="center" vertical="top"/>
    </xf>
    <xf numFmtId="38" fontId="5" fillId="5" borderId="10" xfId="1" applyFont="1" applyFill="1" applyBorder="1" applyAlignment="1">
      <alignment horizontal="center" vertical="top"/>
    </xf>
    <xf numFmtId="38" fontId="5" fillId="5" borderId="53" xfId="1" applyFont="1" applyFill="1" applyBorder="1" applyAlignment="1">
      <alignment horizontal="center" vertical="center"/>
    </xf>
    <xf numFmtId="38" fontId="5" fillId="2" borderId="10" xfId="1" applyFont="1" applyFill="1" applyBorder="1" applyAlignment="1">
      <alignment horizontal="center" vertical="center"/>
    </xf>
    <xf numFmtId="38" fontId="5" fillId="2" borderId="9" xfId="1" applyFont="1" applyFill="1" applyBorder="1" applyAlignment="1">
      <alignment horizontal="center" vertical="top"/>
    </xf>
    <xf numFmtId="38" fontId="5" fillId="2" borderId="31" xfId="1" applyFont="1" applyFill="1" applyBorder="1" applyAlignment="1">
      <alignment horizontal="center" vertical="center"/>
    </xf>
    <xf numFmtId="38" fontId="5" fillId="2" borderId="32" xfId="1" applyFont="1" applyFill="1" applyBorder="1" applyAlignment="1">
      <alignment horizontal="center" vertical="center"/>
    </xf>
    <xf numFmtId="38" fontId="5" fillId="2" borderId="47" xfId="1" applyFont="1" applyFill="1" applyBorder="1" applyAlignment="1">
      <alignment horizontal="center" vertical="center"/>
    </xf>
    <xf numFmtId="38" fontId="5" fillId="2" borderId="50" xfId="1" applyFont="1" applyFill="1" applyBorder="1" applyAlignment="1">
      <alignment horizontal="center" vertical="top"/>
    </xf>
    <xf numFmtId="38" fontId="5" fillId="3" borderId="13" xfId="1" applyFont="1" applyFill="1" applyBorder="1" applyAlignment="1">
      <alignment horizontal="center" vertical="center"/>
    </xf>
    <xf numFmtId="38" fontId="5" fillId="3" borderId="36" xfId="1" applyFont="1" applyFill="1" applyBorder="1" applyAlignment="1">
      <alignment horizontal="center" vertical="center"/>
    </xf>
    <xf numFmtId="38" fontId="5" fillId="6" borderId="30" xfId="1" applyFont="1" applyFill="1" applyBorder="1" applyAlignment="1">
      <alignment horizontal="center" vertical="center"/>
    </xf>
    <xf numFmtId="38" fontId="5" fillId="6" borderId="21" xfId="1" applyFont="1" applyFill="1" applyBorder="1" applyAlignment="1">
      <alignment horizontal="center" vertical="center"/>
    </xf>
    <xf numFmtId="38" fontId="5" fillId="6" borderId="36" xfId="1" applyFont="1" applyFill="1" applyBorder="1" applyAlignment="1">
      <alignment horizontal="center" vertical="center"/>
    </xf>
    <xf numFmtId="38" fontId="5" fillId="5" borderId="30" xfId="1" applyFont="1" applyFill="1" applyBorder="1" applyAlignment="1">
      <alignment horizontal="center" vertical="center"/>
    </xf>
    <xf numFmtId="38" fontId="5" fillId="5" borderId="21" xfId="1" applyFont="1" applyFill="1" applyBorder="1" applyAlignment="1">
      <alignment horizontal="center" vertical="center"/>
    </xf>
    <xf numFmtId="38" fontId="5" fillId="5" borderId="55" xfId="1" applyFont="1" applyFill="1" applyBorder="1" applyAlignment="1">
      <alignment horizontal="center" vertical="center"/>
    </xf>
    <xf numFmtId="38" fontId="5" fillId="0" borderId="15" xfId="1" applyFont="1" applyBorder="1" applyAlignment="1">
      <alignment horizontal="center" vertical="center"/>
    </xf>
    <xf numFmtId="38" fontId="5" fillId="0" borderId="48" xfId="1" applyFont="1" applyBorder="1" applyAlignment="1">
      <alignment horizontal="center" vertical="center"/>
    </xf>
    <xf numFmtId="38" fontId="5" fillId="0" borderId="56" xfId="1" applyFont="1" applyBorder="1" applyAlignment="1">
      <alignment horizontal="center" vertical="center"/>
    </xf>
    <xf numFmtId="38" fontId="5" fillId="3" borderId="3" xfId="1" applyFont="1" applyFill="1" applyBorder="1" applyAlignment="1">
      <alignment horizontal="center" vertical="center"/>
    </xf>
    <xf numFmtId="38" fontId="5" fillId="2" borderId="5" xfId="1" applyFont="1" applyFill="1" applyBorder="1" applyAlignment="1">
      <alignment horizontal="center" vertical="center"/>
    </xf>
    <xf numFmtId="38" fontId="5" fillId="2" borderId="21" xfId="1" applyFont="1" applyFill="1" applyBorder="1" applyAlignment="1">
      <alignment horizontal="center" vertical="center"/>
    </xf>
    <xf numFmtId="38" fontId="5" fillId="2" borderId="36" xfId="1" applyFont="1" applyFill="1" applyBorder="1" applyAlignment="1">
      <alignment horizontal="center" vertical="top"/>
    </xf>
    <xf numFmtId="38" fontId="5" fillId="3" borderId="23" xfId="1" applyFont="1" applyFill="1" applyBorder="1" applyAlignment="1">
      <alignment horizontal="center" vertical="center"/>
    </xf>
    <xf numFmtId="38" fontId="5" fillId="2" borderId="42" xfId="1" applyFont="1" applyFill="1" applyBorder="1" applyAlignment="1">
      <alignment horizontal="center" vertical="center"/>
    </xf>
    <xf numFmtId="38" fontId="5" fillId="6" borderId="29" xfId="1" applyFont="1" applyFill="1" applyBorder="1" applyAlignment="1">
      <alignment horizontal="center" vertical="center"/>
    </xf>
    <xf numFmtId="38" fontId="5" fillId="5" borderId="29" xfId="1" applyFont="1" applyFill="1" applyBorder="1" applyAlignment="1">
      <alignment horizontal="center" vertical="center"/>
    </xf>
    <xf numFmtId="38" fontId="5" fillId="2" borderId="23" xfId="1" applyFont="1" applyFill="1" applyBorder="1" applyAlignment="1">
      <alignment horizontal="center" vertical="center"/>
    </xf>
    <xf numFmtId="38" fontId="5" fillId="3" borderId="31" xfId="1" applyFont="1" applyFill="1" applyBorder="1" applyAlignment="1">
      <alignment horizontal="center" vertical="center"/>
    </xf>
    <xf numFmtId="38" fontId="5" fillId="3" borderId="34" xfId="1" applyFont="1" applyFill="1" applyBorder="1" applyAlignment="1">
      <alignment horizontal="center" vertical="center"/>
    </xf>
    <xf numFmtId="38" fontId="5" fillId="2" borderId="33" xfId="1" applyFont="1" applyFill="1" applyBorder="1" applyAlignment="1">
      <alignment horizontal="center" vertical="center"/>
    </xf>
    <xf numFmtId="38" fontId="5" fillId="6" borderId="31" xfId="1" applyFont="1" applyFill="1" applyBorder="1" applyAlignment="1">
      <alignment horizontal="center" vertical="center"/>
    </xf>
    <xf numFmtId="38" fontId="5" fillId="6" borderId="33" xfId="1" applyFont="1" applyFill="1" applyBorder="1" applyAlignment="1">
      <alignment horizontal="center" vertical="center"/>
    </xf>
    <xf numFmtId="38" fontId="5" fillId="5" borderId="31" xfId="1" applyFont="1" applyFill="1" applyBorder="1" applyAlignment="1">
      <alignment horizontal="center" vertical="center"/>
    </xf>
    <xf numFmtId="38" fontId="5" fillId="5" borderId="54" xfId="1" applyFont="1" applyFill="1" applyBorder="1" applyAlignment="1">
      <alignment horizontal="center" vertical="center"/>
    </xf>
    <xf numFmtId="38" fontId="5" fillId="2" borderId="24" xfId="1" applyFont="1" applyFill="1" applyBorder="1" applyAlignment="1">
      <alignment horizontal="center" vertical="center"/>
    </xf>
    <xf numFmtId="38" fontId="5" fillId="3" borderId="7" xfId="1" applyFont="1" applyFill="1" applyBorder="1" applyAlignment="1">
      <alignment horizontal="center" vertical="center"/>
    </xf>
    <xf numFmtId="38" fontId="5" fillId="2" borderId="30" xfId="1" applyFont="1" applyFill="1" applyBorder="1" applyAlignment="1">
      <alignment horizontal="center" vertical="center"/>
    </xf>
    <xf numFmtId="38" fontId="5" fillId="3" borderId="33" xfId="1" applyFont="1" applyFill="1" applyBorder="1" applyAlignment="1">
      <alignment horizontal="center" vertical="center"/>
    </xf>
    <xf numFmtId="38" fontId="5" fillId="3" borderId="46" xfId="1" applyFont="1" applyFill="1" applyBorder="1" applyAlignment="1">
      <alignment horizontal="center" vertical="center"/>
    </xf>
    <xf numFmtId="38" fontId="5" fillId="3" borderId="21" xfId="1" applyFont="1" applyFill="1" applyBorder="1" applyAlignment="1">
      <alignment horizontal="center" vertical="top"/>
    </xf>
    <xf numFmtId="38" fontId="5" fillId="6" borderId="5" xfId="1" applyFont="1" applyFill="1" applyBorder="1" applyAlignment="1">
      <alignment horizontal="center" vertical="center"/>
    </xf>
    <xf numFmtId="38" fontId="5" fillId="2" borderId="0" xfId="1" applyFont="1" applyFill="1" applyAlignment="1">
      <alignment horizontal="center" vertical="center"/>
    </xf>
    <xf numFmtId="38" fontId="5" fillId="4" borderId="37" xfId="1" applyFont="1" applyFill="1" applyBorder="1" applyAlignment="1">
      <alignment horizontal="center" vertical="center"/>
    </xf>
    <xf numFmtId="38" fontId="5" fillId="6" borderId="34" xfId="1" applyFont="1" applyFill="1" applyBorder="1" applyAlignment="1">
      <alignment horizontal="center" vertical="center"/>
    </xf>
    <xf numFmtId="38" fontId="5" fillId="5" borderId="33" xfId="1" applyFont="1" applyFill="1" applyBorder="1" applyAlignment="1">
      <alignment horizontal="center" vertical="center"/>
    </xf>
    <xf numFmtId="38" fontId="5" fillId="7" borderId="57" xfId="1" applyFont="1" applyFill="1" applyBorder="1" applyAlignment="1">
      <alignment horizontal="center" vertical="center"/>
    </xf>
    <xf numFmtId="38" fontId="5" fillId="4" borderId="33" xfId="1" applyFont="1" applyFill="1" applyBorder="1" applyAlignment="1">
      <alignment horizontal="center" vertical="top"/>
    </xf>
    <xf numFmtId="38" fontId="5" fillId="3" borderId="49" xfId="1" applyFont="1" applyFill="1" applyBorder="1" applyAlignment="1">
      <alignment horizontal="center" vertical="center"/>
    </xf>
    <xf numFmtId="38" fontId="5" fillId="6" borderId="15" xfId="1" applyFont="1" applyFill="1" applyBorder="1" applyAlignment="1">
      <alignment horizontal="center" vertical="center"/>
    </xf>
    <xf numFmtId="38" fontId="5" fillId="6" borderId="48" xfId="1" applyFont="1" applyFill="1" applyBorder="1" applyAlignment="1">
      <alignment horizontal="center" vertical="center"/>
    </xf>
    <xf numFmtId="38" fontId="5" fillId="6" borderId="11" xfId="1" applyFont="1" applyFill="1" applyBorder="1" applyAlignment="1">
      <alignment horizontal="center" vertical="center"/>
    </xf>
    <xf numFmtId="38" fontId="5" fillId="6" borderId="49" xfId="1" applyFont="1" applyFill="1" applyBorder="1" applyAlignment="1">
      <alignment horizontal="center" vertical="center"/>
    </xf>
    <xf numFmtId="38" fontId="5" fillId="5" borderId="48" xfId="1" applyFont="1" applyFill="1" applyBorder="1" applyAlignment="1">
      <alignment horizontal="center" vertical="center"/>
    </xf>
    <xf numFmtId="38" fontId="5" fillId="5" borderId="11" xfId="1" applyFont="1" applyFill="1" applyBorder="1" applyAlignment="1">
      <alignment horizontal="center" vertical="center"/>
    </xf>
    <xf numFmtId="38" fontId="5" fillId="5" borderId="49" xfId="1" applyFont="1" applyFill="1" applyBorder="1" applyAlignment="1">
      <alignment horizontal="center" vertical="center"/>
    </xf>
    <xf numFmtId="38" fontId="5" fillId="7" borderId="48" xfId="1" applyFont="1" applyFill="1" applyBorder="1" applyAlignment="1">
      <alignment horizontal="center" vertical="center"/>
    </xf>
    <xf numFmtId="38" fontId="5" fillId="7" borderId="58" xfId="1" applyFont="1" applyFill="1" applyBorder="1" applyAlignment="1">
      <alignment horizontal="center" vertical="top"/>
    </xf>
    <xf numFmtId="38" fontId="5" fillId="2" borderId="35" xfId="1" applyFont="1" applyFill="1" applyBorder="1" applyAlignment="1">
      <alignment horizontal="center" vertical="center"/>
    </xf>
    <xf numFmtId="38" fontId="5" fillId="2" borderId="34" xfId="1" applyFont="1" applyFill="1" applyBorder="1" applyAlignment="1">
      <alignment horizontal="center" vertical="center"/>
    </xf>
    <xf numFmtId="38" fontId="5" fillId="3" borderId="15" xfId="1" applyFont="1" applyFill="1" applyBorder="1" applyAlignment="1">
      <alignment horizontal="center" vertical="center"/>
    </xf>
    <xf numFmtId="38" fontId="5" fillId="2" borderId="36" xfId="1" applyFont="1" applyFill="1" applyBorder="1" applyAlignment="1">
      <alignment horizontal="center" vertical="center" wrapText="1"/>
    </xf>
    <xf numFmtId="38" fontId="5" fillId="4" borderId="29" xfId="1" applyFont="1" applyFill="1" applyBorder="1" applyAlignment="1">
      <alignment horizontal="center" vertical="center"/>
    </xf>
    <xf numFmtId="38" fontId="5" fillId="4" borderId="36" xfId="1" applyFont="1" applyFill="1" applyBorder="1" applyAlignment="1">
      <alignment horizontal="center" vertical="center"/>
    </xf>
    <xf numFmtId="38" fontId="5" fillId="4" borderId="31" xfId="1" applyFont="1" applyFill="1" applyBorder="1" applyAlignment="1">
      <alignment horizontal="center" vertical="center"/>
    </xf>
    <xf numFmtId="38" fontId="5" fillId="4" borderId="33" xfId="1" applyFont="1" applyFill="1" applyBorder="1" applyAlignment="1">
      <alignment horizontal="center" vertical="center"/>
    </xf>
    <xf numFmtId="38" fontId="5" fillId="4" borderId="10" xfId="1" applyFont="1" applyFill="1" applyBorder="1" applyAlignment="1">
      <alignment horizontal="center" vertical="top"/>
    </xf>
    <xf numFmtId="38" fontId="5" fillId="7" borderId="31" xfId="1" applyFont="1" applyFill="1" applyBorder="1" applyAlignment="1">
      <alignment horizontal="center" vertical="center"/>
    </xf>
    <xf numFmtId="38" fontId="5" fillId="0" borderId="40" xfId="1" applyFont="1" applyBorder="1" applyAlignment="1">
      <alignment horizontal="center" vertical="center"/>
    </xf>
    <xf numFmtId="38" fontId="5" fillId="4" borderId="11" xfId="1" applyFont="1" applyFill="1" applyBorder="1" applyAlignment="1">
      <alignment horizontal="center" vertical="center"/>
    </xf>
    <xf numFmtId="38" fontId="5" fillId="4" borderId="49" xfId="1" applyFont="1" applyFill="1" applyBorder="1" applyAlignment="1">
      <alignment horizontal="center" vertical="center"/>
    </xf>
    <xf numFmtId="38" fontId="5" fillId="7" borderId="11" xfId="1" applyFont="1" applyFill="1" applyBorder="1" applyAlignment="1">
      <alignment horizontal="center" vertical="center"/>
    </xf>
    <xf numFmtId="38" fontId="5" fillId="7" borderId="55" xfId="1" applyFont="1" applyFill="1" applyBorder="1" applyAlignment="1">
      <alignment horizontal="center" vertical="center"/>
    </xf>
    <xf numFmtId="38" fontId="5" fillId="4" borderId="47" xfId="1" applyFont="1" applyFill="1" applyBorder="1" applyAlignment="1">
      <alignment horizontal="center" vertical="center"/>
    </xf>
    <xf numFmtId="38" fontId="5" fillId="5" borderId="57" xfId="1" applyFont="1" applyFill="1" applyBorder="1" applyAlignment="1">
      <alignment horizontal="center" vertical="center"/>
    </xf>
    <xf numFmtId="38" fontId="5" fillId="4" borderId="5" xfId="1" applyFont="1" applyFill="1" applyBorder="1" applyAlignment="1">
      <alignment horizontal="center" vertical="center"/>
    </xf>
    <xf numFmtId="38" fontId="5" fillId="5" borderId="40" xfId="1" applyFont="1" applyFill="1" applyBorder="1" applyAlignment="1">
      <alignment horizontal="center" vertical="center" wrapText="1"/>
    </xf>
    <xf numFmtId="38" fontId="5" fillId="4" borderId="53" xfId="1" applyFont="1" applyFill="1" applyBorder="1" applyAlignment="1">
      <alignment horizontal="center" vertical="center"/>
    </xf>
    <xf numFmtId="38" fontId="5" fillId="4" borderId="54" xfId="1" applyFont="1" applyFill="1" applyBorder="1" applyAlignment="1">
      <alignment horizontal="center" vertical="center"/>
    </xf>
    <xf numFmtId="38" fontId="5" fillId="4" borderId="40" xfId="1" applyFont="1" applyFill="1" applyBorder="1" applyAlignment="1">
      <alignment horizontal="center" vertical="center"/>
    </xf>
    <xf numFmtId="38" fontId="5" fillId="3" borderId="53" xfId="1" applyFont="1" applyFill="1" applyBorder="1" applyAlignment="1">
      <alignment horizontal="center" vertical="center"/>
    </xf>
    <xf numFmtId="38" fontId="5" fillId="2" borderId="8" xfId="1" applyFont="1" applyFill="1" applyBorder="1" applyAlignment="1">
      <alignment horizontal="center" vertical="center"/>
    </xf>
    <xf numFmtId="38" fontId="5" fillId="2" borderId="12" xfId="1" applyFont="1" applyFill="1" applyBorder="1" applyAlignment="1">
      <alignment horizontal="center" vertical="center"/>
    </xf>
    <xf numFmtId="38" fontId="5" fillId="2" borderId="16" xfId="1" applyFont="1" applyFill="1" applyBorder="1" applyAlignment="1">
      <alignment horizontal="center" vertical="center"/>
    </xf>
    <xf numFmtId="38" fontId="5" fillId="4" borderId="7" xfId="1" applyFont="1" applyFill="1" applyBorder="1" applyAlignment="1">
      <alignment horizontal="center" vertical="center"/>
    </xf>
    <xf numFmtId="38" fontId="5" fillId="3" borderId="30" xfId="1" applyFont="1" applyFill="1" applyBorder="1" applyAlignment="1">
      <alignment horizontal="center" vertical="center"/>
    </xf>
    <xf numFmtId="38" fontId="5" fillId="2" borderId="45" xfId="1" applyFont="1" applyFill="1" applyBorder="1" applyAlignment="1">
      <alignment horizontal="center" vertical="center"/>
    </xf>
    <xf numFmtId="38" fontId="5" fillId="3" borderId="54" xfId="1" applyFont="1" applyFill="1" applyBorder="1" applyAlignment="1">
      <alignment horizontal="center" vertical="center"/>
    </xf>
    <xf numFmtId="38" fontId="5" fillId="3" borderId="40" xfId="1" applyFont="1" applyFill="1" applyBorder="1" applyAlignment="1">
      <alignment horizontal="center" vertical="center"/>
    </xf>
    <xf numFmtId="38" fontId="5" fillId="2" borderId="53" xfId="1" applyFont="1" applyFill="1" applyBorder="1" applyAlignment="1">
      <alignment horizontal="center" vertical="center"/>
    </xf>
    <xf numFmtId="38" fontId="5" fillId="2" borderId="54" xfId="1" applyFont="1" applyFill="1" applyBorder="1" applyAlignment="1">
      <alignment horizontal="center" vertical="center"/>
    </xf>
    <xf numFmtId="38" fontId="5" fillId="2" borderId="55" xfId="1" applyFont="1" applyFill="1" applyBorder="1" applyAlignment="1">
      <alignment horizontal="center" vertical="center"/>
    </xf>
    <xf numFmtId="0" fontId="4" fillId="0" borderId="10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4" fillId="0" borderId="1" xfId="0" applyFont="1" applyBorder="1"/>
    <xf numFmtId="0" fontId="4" fillId="0" borderId="36" xfId="0" applyFont="1" applyBorder="1" applyAlignment="1">
      <alignment horizontal="center" vertical="top" textRotation="255"/>
    </xf>
    <xf numFmtId="0" fontId="0" fillId="0" borderId="0" xfId="0" applyAlignment="1">
      <alignment horizontal="center" vertical="top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Medium9"/>
  <colors>
    <mruColors>
      <color rgb="FFFFFF99"/>
      <color rgb="FF00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276225</xdr:colOff>
          <xdr:row>39</xdr:row>
          <xdr:rowOff>28575</xdr:rowOff>
        </xdr:from>
        <xdr:to>
          <xdr:col>37</xdr:col>
          <xdr:colOff>285750</xdr:colOff>
          <xdr:row>46</xdr:row>
          <xdr:rowOff>28575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42"/>
  <sheetViews>
    <sheetView tabSelected="1" zoomScale="90" zoomScaleNormal="90" workbookViewId="0">
      <selection activeCell="T46" sqref="T46"/>
    </sheetView>
  </sheetViews>
  <sheetFormatPr defaultRowHeight="12" x14ac:dyDescent="0.15"/>
  <cols>
    <col min="1" max="1" width="4.375" style="178" bestFit="1" customWidth="1"/>
    <col min="2" max="2" width="4.5" style="178" bestFit="1" customWidth="1"/>
    <col min="3" max="3" width="2.625" style="1" customWidth="1"/>
    <col min="4" max="38" width="4.625" style="1" customWidth="1"/>
    <col min="39" max="16384" width="9" style="1"/>
  </cols>
  <sheetData>
    <row r="1" spans="1:38" ht="12.75" thickBot="1" x14ac:dyDescent="0.2">
      <c r="A1" s="1" t="s">
        <v>48</v>
      </c>
      <c r="D1" s="1" t="s">
        <v>49</v>
      </c>
    </row>
    <row r="2" spans="1:38" ht="12.75" thickBot="1" x14ac:dyDescent="0.2">
      <c r="A2" s="177" t="s">
        <v>40</v>
      </c>
      <c r="B2" s="177">
        <v>200</v>
      </c>
      <c r="D2" s="2" t="s">
        <v>0</v>
      </c>
      <c r="E2" s="3">
        <v>1.5</v>
      </c>
      <c r="F2" s="4">
        <v>2.2999999999999998</v>
      </c>
      <c r="G2" s="4">
        <v>3.4</v>
      </c>
      <c r="H2" s="4">
        <v>4.5999999999999996</v>
      </c>
      <c r="I2" s="4">
        <v>5.4</v>
      </c>
      <c r="J2" s="4">
        <v>6.5</v>
      </c>
      <c r="K2" s="4">
        <v>7.3</v>
      </c>
      <c r="L2" s="4">
        <v>8.1</v>
      </c>
      <c r="M2" s="4">
        <v>9.1</v>
      </c>
      <c r="N2" s="5">
        <v>9.8000000000000007</v>
      </c>
      <c r="O2" s="4">
        <v>11</v>
      </c>
      <c r="P2" s="4">
        <v>13.1</v>
      </c>
      <c r="Q2" s="4">
        <v>8.6</v>
      </c>
      <c r="R2" s="4">
        <v>9.3000000000000007</v>
      </c>
      <c r="S2" s="4">
        <v>10.199999999999999</v>
      </c>
      <c r="T2" s="4">
        <v>11</v>
      </c>
      <c r="U2" s="4">
        <v>11.8</v>
      </c>
      <c r="V2" s="4">
        <v>12.8</v>
      </c>
      <c r="W2" s="3"/>
      <c r="X2" s="6">
        <v>8</v>
      </c>
      <c r="Y2" s="5">
        <v>8.5</v>
      </c>
      <c r="Z2" s="6">
        <v>9.1</v>
      </c>
      <c r="AA2" s="5">
        <v>10.1</v>
      </c>
      <c r="AB2" s="4">
        <v>11</v>
      </c>
      <c r="AC2" s="4">
        <v>11.8</v>
      </c>
      <c r="AD2" s="4">
        <v>12.8</v>
      </c>
      <c r="AE2" s="3">
        <v>13.6</v>
      </c>
      <c r="AF2" s="7">
        <v>14.4</v>
      </c>
      <c r="AG2" s="7">
        <v>15</v>
      </c>
      <c r="AH2" s="7">
        <v>15.9</v>
      </c>
      <c r="AI2" s="7">
        <v>16.7</v>
      </c>
      <c r="AJ2" s="7">
        <v>17.600000000000001</v>
      </c>
      <c r="AK2" s="7">
        <v>18.3</v>
      </c>
      <c r="AL2" s="8">
        <v>19.3</v>
      </c>
    </row>
    <row r="3" spans="1:38" ht="12.75" thickBot="1" x14ac:dyDescent="0.2">
      <c r="A3" s="177" t="s">
        <v>41</v>
      </c>
      <c r="B3" s="177">
        <v>260</v>
      </c>
      <c r="D3" s="166">
        <f>$B$2</f>
        <v>200</v>
      </c>
      <c r="E3" s="2" t="s">
        <v>1</v>
      </c>
      <c r="F3" s="9">
        <v>0.8</v>
      </c>
      <c r="G3" s="10">
        <v>1.9</v>
      </c>
      <c r="H3" s="10">
        <v>3.1</v>
      </c>
      <c r="I3" s="10">
        <v>3.9</v>
      </c>
      <c r="J3" s="10">
        <v>5</v>
      </c>
      <c r="K3" s="10">
        <v>5.8</v>
      </c>
      <c r="L3" s="10">
        <v>6.6</v>
      </c>
      <c r="M3" s="10">
        <v>7.6</v>
      </c>
      <c r="N3" s="10">
        <v>8.3000000000000007</v>
      </c>
      <c r="O3" s="10">
        <v>9.5</v>
      </c>
      <c r="P3" s="10">
        <v>11.6</v>
      </c>
      <c r="Q3" s="10">
        <v>7.1</v>
      </c>
      <c r="R3" s="10">
        <v>7.8</v>
      </c>
      <c r="S3" s="10">
        <v>8.6999999999999993</v>
      </c>
      <c r="T3" s="10">
        <v>9.5</v>
      </c>
      <c r="U3" s="10">
        <v>10.3</v>
      </c>
      <c r="V3" s="10">
        <v>11.3</v>
      </c>
      <c r="W3" s="10"/>
      <c r="X3" s="10">
        <v>6.5</v>
      </c>
      <c r="Y3" s="10">
        <v>7</v>
      </c>
      <c r="Z3" s="10">
        <v>7.6</v>
      </c>
      <c r="AA3" s="10">
        <v>8.6</v>
      </c>
      <c r="AB3" s="10">
        <v>9.5</v>
      </c>
      <c r="AC3" s="10">
        <v>10.3</v>
      </c>
      <c r="AD3" s="10">
        <v>11.3</v>
      </c>
      <c r="AE3" s="10">
        <v>12.1</v>
      </c>
      <c r="AF3" s="10">
        <v>12.9</v>
      </c>
      <c r="AG3" s="10">
        <v>13.5</v>
      </c>
      <c r="AH3" s="10">
        <v>14.4</v>
      </c>
      <c r="AI3" s="10">
        <v>15.2</v>
      </c>
      <c r="AJ3" s="10">
        <v>16.100000000000001</v>
      </c>
      <c r="AK3" s="10">
        <v>16.8</v>
      </c>
      <c r="AL3" s="11">
        <v>17.8</v>
      </c>
    </row>
    <row r="4" spans="1:38" ht="12.75" thickBot="1" x14ac:dyDescent="0.2">
      <c r="A4" s="177" t="s">
        <v>42</v>
      </c>
      <c r="B4" s="177">
        <v>300</v>
      </c>
      <c r="D4" s="167">
        <f t="shared" ref="D4:M13" si="0">$B$2</f>
        <v>200</v>
      </c>
      <c r="E4" s="73">
        <f t="shared" si="0"/>
        <v>200</v>
      </c>
      <c r="F4" s="2" t="s">
        <v>2</v>
      </c>
      <c r="G4" s="9">
        <v>1.1000000000000001</v>
      </c>
      <c r="H4" s="10">
        <v>2.2999999999999998</v>
      </c>
      <c r="I4" s="10">
        <v>3.1</v>
      </c>
      <c r="J4" s="10">
        <v>4.2</v>
      </c>
      <c r="K4" s="10">
        <v>5</v>
      </c>
      <c r="L4" s="10">
        <v>5.8</v>
      </c>
      <c r="M4" s="10">
        <v>6.8</v>
      </c>
      <c r="N4" s="10">
        <v>7.5</v>
      </c>
      <c r="O4" s="10">
        <v>8.6999999999999993</v>
      </c>
      <c r="P4" s="10">
        <v>10.8</v>
      </c>
      <c r="Q4" s="10">
        <v>6.3</v>
      </c>
      <c r="R4" s="10">
        <v>7</v>
      </c>
      <c r="S4" s="10">
        <v>7.9</v>
      </c>
      <c r="T4" s="10">
        <v>8.6999999999999993</v>
      </c>
      <c r="U4" s="10">
        <v>9.5</v>
      </c>
      <c r="V4" s="10">
        <v>10.5</v>
      </c>
      <c r="W4" s="10"/>
      <c r="X4" s="10">
        <v>5.7</v>
      </c>
      <c r="Y4" s="10">
        <v>6.2</v>
      </c>
      <c r="Z4" s="10">
        <v>6.8</v>
      </c>
      <c r="AA4" s="10">
        <v>7.8</v>
      </c>
      <c r="AB4" s="10">
        <v>8.6999999999999993</v>
      </c>
      <c r="AC4" s="10">
        <v>9.5</v>
      </c>
      <c r="AD4" s="10">
        <v>10.5</v>
      </c>
      <c r="AE4" s="10">
        <v>11.3</v>
      </c>
      <c r="AF4" s="10">
        <v>12.1</v>
      </c>
      <c r="AG4" s="10">
        <v>12.7</v>
      </c>
      <c r="AH4" s="10">
        <v>13.6</v>
      </c>
      <c r="AI4" s="10">
        <v>14.4</v>
      </c>
      <c r="AJ4" s="10">
        <v>15.3</v>
      </c>
      <c r="AK4" s="10">
        <v>16</v>
      </c>
      <c r="AL4" s="12">
        <v>17</v>
      </c>
    </row>
    <row r="5" spans="1:38" ht="12.75" thickBot="1" x14ac:dyDescent="0.2">
      <c r="A5" s="177" t="s">
        <v>43</v>
      </c>
      <c r="B5" s="177">
        <v>330</v>
      </c>
      <c r="D5" s="145">
        <f t="shared" ref="D5:D8" si="1">$B$3</f>
        <v>260</v>
      </c>
      <c r="E5" s="56">
        <f t="shared" si="0"/>
        <v>200</v>
      </c>
      <c r="F5" s="168">
        <f t="shared" si="0"/>
        <v>200</v>
      </c>
      <c r="G5" s="2" t="s">
        <v>3</v>
      </c>
      <c r="H5" s="9">
        <v>1.2</v>
      </c>
      <c r="I5" s="10">
        <v>2</v>
      </c>
      <c r="J5" s="10">
        <v>3.1</v>
      </c>
      <c r="K5" s="10">
        <v>3.9</v>
      </c>
      <c r="L5" s="10">
        <v>4.7</v>
      </c>
      <c r="M5" s="10">
        <v>5.7</v>
      </c>
      <c r="N5" s="10">
        <v>6.4</v>
      </c>
      <c r="O5" s="10">
        <v>7.6</v>
      </c>
      <c r="P5" s="10">
        <v>9.6999999999999993</v>
      </c>
      <c r="Q5" s="10">
        <v>5.2</v>
      </c>
      <c r="R5" s="10">
        <v>5.9</v>
      </c>
      <c r="S5" s="10">
        <v>6.8</v>
      </c>
      <c r="T5" s="10">
        <v>7.6</v>
      </c>
      <c r="U5" s="10">
        <v>8.4</v>
      </c>
      <c r="V5" s="10">
        <v>9.4</v>
      </c>
      <c r="W5" s="10"/>
      <c r="X5" s="10">
        <v>4.5999999999999996</v>
      </c>
      <c r="Y5" s="10">
        <v>5.0999999999999996</v>
      </c>
      <c r="Z5" s="10">
        <v>5.7</v>
      </c>
      <c r="AA5" s="10">
        <v>6.7</v>
      </c>
      <c r="AB5" s="10">
        <v>7.6</v>
      </c>
      <c r="AC5" s="10">
        <v>8.4</v>
      </c>
      <c r="AD5" s="10">
        <v>9.4</v>
      </c>
      <c r="AE5" s="10">
        <v>10.199999999999999</v>
      </c>
      <c r="AF5" s="10">
        <v>11</v>
      </c>
      <c r="AG5" s="10">
        <v>11.6</v>
      </c>
      <c r="AH5" s="10">
        <v>12.5</v>
      </c>
      <c r="AI5" s="10">
        <v>13.3</v>
      </c>
      <c r="AJ5" s="10">
        <v>14.2</v>
      </c>
      <c r="AK5" s="10">
        <v>14.9</v>
      </c>
      <c r="AL5" s="11">
        <v>15.9</v>
      </c>
    </row>
    <row r="6" spans="1:38" ht="12.75" thickBot="1" x14ac:dyDescent="0.2">
      <c r="A6" s="177" t="s">
        <v>44</v>
      </c>
      <c r="B6" s="177">
        <v>350</v>
      </c>
      <c r="D6" s="16">
        <f t="shared" si="1"/>
        <v>260</v>
      </c>
      <c r="E6" s="34">
        <f t="shared" ref="E6:E10" si="2">$B$3</f>
        <v>260</v>
      </c>
      <c r="F6" s="56">
        <f t="shared" si="0"/>
        <v>200</v>
      </c>
      <c r="G6" s="73">
        <f t="shared" si="0"/>
        <v>200</v>
      </c>
      <c r="H6" s="2" t="s">
        <v>4</v>
      </c>
      <c r="I6" s="9">
        <v>0.8</v>
      </c>
      <c r="J6" s="10">
        <v>1.9</v>
      </c>
      <c r="K6" s="10">
        <v>2.7</v>
      </c>
      <c r="L6" s="10">
        <v>3.5</v>
      </c>
      <c r="M6" s="10">
        <v>4.5</v>
      </c>
      <c r="N6" s="10">
        <v>5.2</v>
      </c>
      <c r="O6" s="10">
        <v>6.4</v>
      </c>
      <c r="P6" s="10">
        <v>8.5</v>
      </c>
      <c r="Q6" s="10">
        <v>4</v>
      </c>
      <c r="R6" s="10">
        <v>4.7</v>
      </c>
      <c r="S6" s="10">
        <v>5.6</v>
      </c>
      <c r="T6" s="10">
        <v>6.4</v>
      </c>
      <c r="U6" s="10">
        <v>7.2</v>
      </c>
      <c r="V6" s="10">
        <v>8.1999999999999993</v>
      </c>
      <c r="W6" s="10"/>
      <c r="X6" s="10">
        <v>3.4</v>
      </c>
      <c r="Y6" s="10">
        <v>3.9</v>
      </c>
      <c r="Z6" s="10">
        <v>4.5</v>
      </c>
      <c r="AA6" s="10">
        <v>5.5</v>
      </c>
      <c r="AB6" s="10">
        <v>6.4</v>
      </c>
      <c r="AC6" s="10">
        <v>7.2</v>
      </c>
      <c r="AD6" s="10">
        <v>8.1999999999999993</v>
      </c>
      <c r="AE6" s="10">
        <v>9</v>
      </c>
      <c r="AF6" s="10">
        <v>9.8000000000000007</v>
      </c>
      <c r="AG6" s="10">
        <v>10.4</v>
      </c>
      <c r="AH6" s="10">
        <v>11.3</v>
      </c>
      <c r="AI6" s="10">
        <v>12.1</v>
      </c>
      <c r="AJ6" s="10">
        <v>13</v>
      </c>
      <c r="AK6" s="10">
        <v>13.7</v>
      </c>
      <c r="AL6" s="12">
        <v>14.7</v>
      </c>
    </row>
    <row r="7" spans="1:38" ht="12.75" thickBot="1" x14ac:dyDescent="0.2">
      <c r="A7" s="177" t="s">
        <v>45</v>
      </c>
      <c r="B7" s="177">
        <v>370</v>
      </c>
      <c r="D7" s="16">
        <f t="shared" si="1"/>
        <v>260</v>
      </c>
      <c r="E7" s="35">
        <f t="shared" si="2"/>
        <v>260</v>
      </c>
      <c r="F7" s="57">
        <f t="shared" ref="F7:F11" si="3">$B$3</f>
        <v>260</v>
      </c>
      <c r="G7" s="56">
        <f t="shared" si="0"/>
        <v>200</v>
      </c>
      <c r="H7" s="73">
        <f t="shared" si="0"/>
        <v>200</v>
      </c>
      <c r="I7" s="2" t="s">
        <v>5</v>
      </c>
      <c r="J7" s="9">
        <v>1.1000000000000001</v>
      </c>
      <c r="K7" s="10">
        <v>1.9</v>
      </c>
      <c r="L7" s="10">
        <v>2.7</v>
      </c>
      <c r="M7" s="10">
        <v>3.7</v>
      </c>
      <c r="N7" s="10">
        <v>4.4000000000000004</v>
      </c>
      <c r="O7" s="10">
        <v>5.6</v>
      </c>
      <c r="P7" s="10">
        <v>7.7</v>
      </c>
      <c r="Q7" s="10">
        <v>3.2</v>
      </c>
      <c r="R7" s="10">
        <v>3.9</v>
      </c>
      <c r="S7" s="10">
        <v>4.8</v>
      </c>
      <c r="T7" s="10">
        <v>5.6</v>
      </c>
      <c r="U7" s="10">
        <v>6.4</v>
      </c>
      <c r="V7" s="10">
        <v>7.4</v>
      </c>
      <c r="W7" s="10"/>
      <c r="X7" s="10">
        <v>2.6</v>
      </c>
      <c r="Y7" s="10">
        <v>3.1</v>
      </c>
      <c r="Z7" s="10">
        <v>3.7</v>
      </c>
      <c r="AA7" s="10">
        <v>4.7</v>
      </c>
      <c r="AB7" s="10">
        <v>5.6</v>
      </c>
      <c r="AC7" s="10">
        <v>6.4</v>
      </c>
      <c r="AD7" s="10">
        <v>7.4</v>
      </c>
      <c r="AE7" s="10">
        <v>8.1999999999999993</v>
      </c>
      <c r="AF7" s="10">
        <v>9</v>
      </c>
      <c r="AG7" s="10">
        <v>9.6</v>
      </c>
      <c r="AH7" s="10">
        <v>10.5</v>
      </c>
      <c r="AI7" s="10">
        <v>11.3</v>
      </c>
      <c r="AJ7" s="10">
        <v>12.2</v>
      </c>
      <c r="AK7" s="10">
        <v>12.9</v>
      </c>
      <c r="AL7" s="11">
        <v>13.9</v>
      </c>
    </row>
    <row r="8" spans="1:38" ht="12.75" thickBot="1" x14ac:dyDescent="0.2">
      <c r="B8" s="180" t="s">
        <v>47</v>
      </c>
      <c r="D8" s="17">
        <f t="shared" si="1"/>
        <v>260</v>
      </c>
      <c r="E8" s="35">
        <f t="shared" si="2"/>
        <v>260</v>
      </c>
      <c r="F8" s="36">
        <f t="shared" si="3"/>
        <v>260</v>
      </c>
      <c r="G8" s="34">
        <f t="shared" ref="G8:G12" si="4">$B$3</f>
        <v>260</v>
      </c>
      <c r="H8" s="78">
        <f t="shared" si="0"/>
        <v>200</v>
      </c>
      <c r="I8" s="73">
        <f t="shared" si="0"/>
        <v>200</v>
      </c>
      <c r="J8" s="2" t="s">
        <v>6</v>
      </c>
      <c r="K8" s="9">
        <v>0.8</v>
      </c>
      <c r="L8" s="10">
        <v>1.6</v>
      </c>
      <c r="M8" s="10">
        <v>2.6</v>
      </c>
      <c r="N8" s="10">
        <v>3.3</v>
      </c>
      <c r="O8" s="10">
        <v>4.5</v>
      </c>
      <c r="P8" s="10">
        <v>6.6</v>
      </c>
      <c r="Q8" s="10">
        <v>2.1</v>
      </c>
      <c r="R8" s="10">
        <v>2.8</v>
      </c>
      <c r="S8" s="10">
        <v>3.7</v>
      </c>
      <c r="T8" s="10">
        <v>4.5</v>
      </c>
      <c r="U8" s="10">
        <v>5.3</v>
      </c>
      <c r="V8" s="10">
        <v>6.3</v>
      </c>
      <c r="W8" s="10"/>
      <c r="X8" s="10">
        <v>1.5</v>
      </c>
      <c r="Y8" s="10">
        <v>2</v>
      </c>
      <c r="Z8" s="10">
        <v>2.6</v>
      </c>
      <c r="AA8" s="10">
        <v>3.6</v>
      </c>
      <c r="AB8" s="10">
        <v>4.5</v>
      </c>
      <c r="AC8" s="10">
        <v>5.3</v>
      </c>
      <c r="AD8" s="10">
        <v>6.3</v>
      </c>
      <c r="AE8" s="10">
        <v>7.1</v>
      </c>
      <c r="AF8" s="10">
        <v>7.9</v>
      </c>
      <c r="AG8" s="10">
        <v>8.5</v>
      </c>
      <c r="AH8" s="10">
        <v>9.4</v>
      </c>
      <c r="AI8" s="10">
        <v>10.199999999999999</v>
      </c>
      <c r="AJ8" s="10">
        <v>11.1</v>
      </c>
      <c r="AK8" s="10">
        <v>11.8</v>
      </c>
      <c r="AL8" s="12">
        <v>12.8</v>
      </c>
    </row>
    <row r="9" spans="1:38" ht="12.75" thickBot="1" x14ac:dyDescent="0.2">
      <c r="B9" s="181"/>
      <c r="D9" s="18">
        <f t="shared" ref="D9:D13" si="5">$B$4</f>
        <v>300</v>
      </c>
      <c r="E9" s="36">
        <f t="shared" si="2"/>
        <v>260</v>
      </c>
      <c r="F9" s="36">
        <f t="shared" si="3"/>
        <v>260</v>
      </c>
      <c r="G9" s="74">
        <f t="shared" si="4"/>
        <v>260</v>
      </c>
      <c r="H9" s="79">
        <f t="shared" si="0"/>
        <v>200</v>
      </c>
      <c r="I9" s="87">
        <f t="shared" si="0"/>
        <v>200</v>
      </c>
      <c r="J9" s="73">
        <f t="shared" si="0"/>
        <v>200</v>
      </c>
      <c r="K9" s="2" t="s">
        <v>7</v>
      </c>
      <c r="L9" s="9">
        <v>0.8</v>
      </c>
      <c r="M9" s="10">
        <v>1.8</v>
      </c>
      <c r="N9" s="10">
        <v>2.5</v>
      </c>
      <c r="O9" s="10">
        <v>3.7</v>
      </c>
      <c r="P9" s="10">
        <v>5.8</v>
      </c>
      <c r="Q9" s="10">
        <v>1.3</v>
      </c>
      <c r="R9" s="10">
        <v>2</v>
      </c>
      <c r="S9" s="10">
        <v>2.9</v>
      </c>
      <c r="T9" s="10">
        <v>3.7</v>
      </c>
      <c r="U9" s="10">
        <v>4.5</v>
      </c>
      <c r="V9" s="10">
        <v>5.5</v>
      </c>
      <c r="W9" s="10"/>
      <c r="X9" s="10"/>
      <c r="Y9" s="10"/>
      <c r="Z9" s="10"/>
      <c r="AA9" s="10"/>
      <c r="AB9" s="10"/>
      <c r="AC9" s="10"/>
      <c r="AD9" s="10"/>
      <c r="AE9" s="10"/>
      <c r="AF9" s="10"/>
      <c r="AG9" s="10"/>
      <c r="AH9" s="10"/>
      <c r="AI9" s="10"/>
      <c r="AJ9" s="10"/>
      <c r="AK9" s="10"/>
      <c r="AL9" s="11"/>
    </row>
    <row r="10" spans="1:38" ht="12.75" thickBot="1" x14ac:dyDescent="0.2">
      <c r="B10" s="181"/>
      <c r="D10" s="19">
        <f t="shared" si="5"/>
        <v>300</v>
      </c>
      <c r="E10" s="37">
        <f t="shared" si="2"/>
        <v>260</v>
      </c>
      <c r="F10" s="58">
        <f t="shared" si="3"/>
        <v>260</v>
      </c>
      <c r="G10" s="35">
        <f t="shared" si="4"/>
        <v>260</v>
      </c>
      <c r="H10" s="34">
        <f t="shared" ref="H10:H13" si="6">$B$3</f>
        <v>260</v>
      </c>
      <c r="I10" s="88">
        <f t="shared" si="0"/>
        <v>200</v>
      </c>
      <c r="J10" s="87">
        <f t="shared" si="0"/>
        <v>200</v>
      </c>
      <c r="K10" s="73">
        <f t="shared" si="0"/>
        <v>200</v>
      </c>
      <c r="L10" s="2" t="s">
        <v>8</v>
      </c>
      <c r="M10" s="9">
        <v>1</v>
      </c>
      <c r="N10" s="10">
        <v>1.7</v>
      </c>
      <c r="O10" s="10">
        <v>2.9</v>
      </c>
      <c r="P10" s="10">
        <v>5</v>
      </c>
      <c r="Q10" s="10">
        <v>0.5</v>
      </c>
      <c r="R10" s="10">
        <v>1.2</v>
      </c>
      <c r="S10" s="10">
        <v>2.1</v>
      </c>
      <c r="T10" s="10">
        <v>2.9</v>
      </c>
      <c r="U10" s="10">
        <v>3.7</v>
      </c>
      <c r="V10" s="10">
        <v>4.7</v>
      </c>
      <c r="W10" s="10"/>
      <c r="X10" s="10">
        <v>1.5</v>
      </c>
      <c r="Y10" s="10">
        <v>2</v>
      </c>
      <c r="Z10" s="10">
        <v>2.6</v>
      </c>
      <c r="AA10" s="10">
        <v>3.6</v>
      </c>
      <c r="AB10" s="10">
        <v>4.5</v>
      </c>
      <c r="AC10" s="10">
        <v>5.3</v>
      </c>
      <c r="AD10" s="10">
        <v>6.3</v>
      </c>
      <c r="AE10" s="10">
        <v>7.1</v>
      </c>
      <c r="AF10" s="10">
        <v>7.9</v>
      </c>
      <c r="AG10" s="10">
        <v>8.5</v>
      </c>
      <c r="AH10" s="10">
        <v>9.4</v>
      </c>
      <c r="AI10" s="10">
        <v>10.199999999999999</v>
      </c>
      <c r="AJ10" s="10">
        <v>11.1</v>
      </c>
      <c r="AK10" s="10">
        <v>11.8</v>
      </c>
      <c r="AL10" s="12">
        <v>12.8</v>
      </c>
    </row>
    <row r="11" spans="1:38" ht="12.75" thickBot="1" x14ac:dyDescent="0.2">
      <c r="B11" s="181"/>
      <c r="D11" s="19">
        <f t="shared" si="5"/>
        <v>300</v>
      </c>
      <c r="E11" s="38">
        <f t="shared" ref="E11:E13" si="7">$B$4</f>
        <v>300</v>
      </c>
      <c r="F11" s="59">
        <f t="shared" si="3"/>
        <v>260</v>
      </c>
      <c r="G11" s="35">
        <f t="shared" si="4"/>
        <v>260</v>
      </c>
      <c r="H11" s="35">
        <f t="shared" si="6"/>
        <v>260</v>
      </c>
      <c r="I11" s="34">
        <f t="shared" ref="I11:I13" si="8">$B$3</f>
        <v>260</v>
      </c>
      <c r="J11" s="56">
        <f t="shared" si="0"/>
        <v>200</v>
      </c>
      <c r="K11" s="87">
        <f t="shared" si="0"/>
        <v>200</v>
      </c>
      <c r="L11" s="73">
        <f t="shared" si="0"/>
        <v>200</v>
      </c>
      <c r="M11" s="2" t="s">
        <v>46</v>
      </c>
      <c r="N11" s="9">
        <v>0.7</v>
      </c>
      <c r="O11" s="10">
        <v>1.9</v>
      </c>
      <c r="P11" s="10">
        <v>4</v>
      </c>
      <c r="Q11" s="10">
        <v>1.5</v>
      </c>
      <c r="R11" s="10">
        <v>2.2000000000000002</v>
      </c>
      <c r="S11" s="10">
        <v>3.1</v>
      </c>
      <c r="T11" s="10">
        <v>3.9</v>
      </c>
      <c r="U11" s="10">
        <v>4.7</v>
      </c>
      <c r="V11" s="10">
        <v>5.7</v>
      </c>
      <c r="W11" s="10"/>
      <c r="X11" s="10">
        <v>2.5</v>
      </c>
      <c r="Y11" s="10">
        <v>3</v>
      </c>
      <c r="Z11" s="10">
        <v>3.6</v>
      </c>
      <c r="AA11" s="10">
        <v>4.5999999999999996</v>
      </c>
      <c r="AB11" s="10">
        <v>5.5</v>
      </c>
      <c r="AC11" s="10">
        <v>6.3</v>
      </c>
      <c r="AD11" s="10">
        <v>7.3</v>
      </c>
      <c r="AE11" s="10">
        <v>8.1</v>
      </c>
      <c r="AF11" s="10">
        <v>8.9</v>
      </c>
      <c r="AG11" s="10">
        <v>9.5</v>
      </c>
      <c r="AH11" s="10">
        <v>10.4</v>
      </c>
      <c r="AI11" s="10">
        <v>11.2</v>
      </c>
      <c r="AJ11" s="10">
        <v>12.1</v>
      </c>
      <c r="AK11" s="10">
        <v>12.8</v>
      </c>
      <c r="AL11" s="11">
        <v>13.8</v>
      </c>
    </row>
    <row r="12" spans="1:38" ht="12.75" thickBot="1" x14ac:dyDescent="0.2">
      <c r="B12" s="181"/>
      <c r="D12" s="19">
        <f t="shared" si="5"/>
        <v>300</v>
      </c>
      <c r="E12" s="39">
        <f t="shared" si="7"/>
        <v>300</v>
      </c>
      <c r="F12" s="60">
        <f t="shared" ref="F12:F14" si="9">$B$4</f>
        <v>300</v>
      </c>
      <c r="G12" s="59">
        <f t="shared" si="4"/>
        <v>260</v>
      </c>
      <c r="H12" s="35">
        <f t="shared" si="6"/>
        <v>260</v>
      </c>
      <c r="I12" s="35">
        <f t="shared" si="8"/>
        <v>260</v>
      </c>
      <c r="J12" s="34">
        <f t="shared" ref="J12:J14" si="10">$B$3</f>
        <v>260</v>
      </c>
      <c r="K12" s="56">
        <f t="shared" si="0"/>
        <v>200</v>
      </c>
      <c r="L12" s="87">
        <f t="shared" si="0"/>
        <v>200</v>
      </c>
      <c r="M12" s="73">
        <f t="shared" si="0"/>
        <v>200</v>
      </c>
      <c r="N12" s="2" t="s">
        <v>9</v>
      </c>
      <c r="O12" s="9">
        <v>1.2</v>
      </c>
      <c r="P12" s="10">
        <v>3.3</v>
      </c>
      <c r="Q12" s="10">
        <v>2.2000000000000002</v>
      </c>
      <c r="R12" s="10">
        <v>2.9</v>
      </c>
      <c r="S12" s="10">
        <v>3.8</v>
      </c>
      <c r="T12" s="10">
        <v>4.5999999999999996</v>
      </c>
      <c r="U12" s="10">
        <v>5.4</v>
      </c>
      <c r="V12" s="10">
        <v>6.4</v>
      </c>
      <c r="W12" s="10"/>
      <c r="X12" s="10">
        <v>3.2</v>
      </c>
      <c r="Y12" s="10">
        <v>3.7</v>
      </c>
      <c r="Z12" s="10">
        <v>4.3</v>
      </c>
      <c r="AA12" s="10">
        <v>5.3</v>
      </c>
      <c r="AB12" s="10">
        <v>6.2</v>
      </c>
      <c r="AC12" s="10">
        <v>7</v>
      </c>
      <c r="AD12" s="10">
        <v>8</v>
      </c>
      <c r="AE12" s="10">
        <v>8.8000000000000007</v>
      </c>
      <c r="AF12" s="10">
        <v>9.6</v>
      </c>
      <c r="AG12" s="10">
        <v>10.199999999999999</v>
      </c>
      <c r="AH12" s="10">
        <v>11.1</v>
      </c>
      <c r="AI12" s="10">
        <v>11.9</v>
      </c>
      <c r="AJ12" s="10">
        <v>12.8</v>
      </c>
      <c r="AK12" s="10">
        <v>13.5</v>
      </c>
      <c r="AL12" s="12">
        <v>14.5</v>
      </c>
    </row>
    <row r="13" spans="1:38" ht="12.75" thickBot="1" x14ac:dyDescent="0.2">
      <c r="B13" s="181"/>
      <c r="D13" s="20">
        <f t="shared" si="5"/>
        <v>300</v>
      </c>
      <c r="E13" s="40">
        <f t="shared" si="7"/>
        <v>300</v>
      </c>
      <c r="F13" s="61">
        <f t="shared" si="9"/>
        <v>300</v>
      </c>
      <c r="G13" s="38">
        <f t="shared" ref="G13:G14" si="11">$B$4</f>
        <v>300</v>
      </c>
      <c r="H13" s="59">
        <f t="shared" si="6"/>
        <v>260</v>
      </c>
      <c r="I13" s="108">
        <f t="shared" si="8"/>
        <v>260</v>
      </c>
      <c r="J13" s="35">
        <f t="shared" si="10"/>
        <v>260</v>
      </c>
      <c r="K13" s="34">
        <f t="shared" ref="K13:K14" si="12">$B$3</f>
        <v>260</v>
      </c>
      <c r="L13" s="56">
        <f t="shared" si="0"/>
        <v>200</v>
      </c>
      <c r="M13" s="112">
        <f t="shared" si="0"/>
        <v>200</v>
      </c>
      <c r="N13" s="120">
        <f>$B$2</f>
        <v>200</v>
      </c>
      <c r="O13" s="13" t="s">
        <v>10</v>
      </c>
      <c r="P13" s="9">
        <v>2.1</v>
      </c>
      <c r="Q13" s="10">
        <v>3.4</v>
      </c>
      <c r="R13" s="10">
        <v>4.0999999999999996</v>
      </c>
      <c r="S13" s="10">
        <v>5</v>
      </c>
      <c r="T13" s="10">
        <v>5.8</v>
      </c>
      <c r="U13" s="10">
        <v>6.6</v>
      </c>
      <c r="V13" s="10">
        <v>7.6</v>
      </c>
      <c r="W13" s="10"/>
      <c r="X13" s="10">
        <v>4.4000000000000004</v>
      </c>
      <c r="Y13" s="10">
        <v>4.9000000000000004</v>
      </c>
      <c r="Z13" s="10">
        <v>5.5</v>
      </c>
      <c r="AA13" s="10">
        <v>6.5</v>
      </c>
      <c r="AB13" s="10">
        <v>7.4</v>
      </c>
      <c r="AC13" s="10">
        <v>8.1999999999999993</v>
      </c>
      <c r="AD13" s="10">
        <v>9.1999999999999993</v>
      </c>
      <c r="AE13" s="10">
        <v>10</v>
      </c>
      <c r="AF13" s="10">
        <v>10.8</v>
      </c>
      <c r="AG13" s="10">
        <v>11.4</v>
      </c>
      <c r="AH13" s="10">
        <v>12.3</v>
      </c>
      <c r="AI13" s="10">
        <v>13.1</v>
      </c>
      <c r="AJ13" s="10">
        <v>14</v>
      </c>
      <c r="AK13" s="10">
        <v>14.7</v>
      </c>
      <c r="AL13" s="11">
        <v>15.7</v>
      </c>
    </row>
    <row r="14" spans="1:38" ht="12.75" thickBot="1" x14ac:dyDescent="0.2">
      <c r="B14" s="181"/>
      <c r="D14" s="21">
        <f t="shared" ref="D14:E14" si="13">$B$5</f>
        <v>330</v>
      </c>
      <c r="E14" s="41">
        <f t="shared" si="13"/>
        <v>330</v>
      </c>
      <c r="F14" s="43">
        <f t="shared" si="9"/>
        <v>300</v>
      </c>
      <c r="G14" s="40">
        <f t="shared" si="11"/>
        <v>300</v>
      </c>
      <c r="H14" s="80">
        <f t="shared" ref="H14:I14" si="14">$B$4</f>
        <v>300</v>
      </c>
      <c r="I14" s="169">
        <f t="shared" si="14"/>
        <v>300</v>
      </c>
      <c r="J14" s="59">
        <f t="shared" si="10"/>
        <v>260</v>
      </c>
      <c r="K14" s="108">
        <f t="shared" si="12"/>
        <v>260</v>
      </c>
      <c r="L14" s="104">
        <f t="shared" ref="L14:N14" si="15">$B$3</f>
        <v>260</v>
      </c>
      <c r="M14" s="104">
        <f t="shared" si="15"/>
        <v>260</v>
      </c>
      <c r="N14" s="121">
        <f t="shared" si="15"/>
        <v>260</v>
      </c>
      <c r="O14" s="127">
        <f t="shared" ref="J14:O18" si="16">$B$2</f>
        <v>200</v>
      </c>
      <c r="P14" s="14" t="s">
        <v>11</v>
      </c>
      <c r="Q14" s="9">
        <v>5.5</v>
      </c>
      <c r="R14" s="10">
        <v>6.2</v>
      </c>
      <c r="S14" s="10">
        <v>7.1</v>
      </c>
      <c r="T14" s="10">
        <v>7.9</v>
      </c>
      <c r="U14" s="10">
        <v>8.6999999999999993</v>
      </c>
      <c r="V14" s="10">
        <v>9.6999999999999993</v>
      </c>
      <c r="W14" s="10"/>
      <c r="X14" s="10">
        <v>6.5</v>
      </c>
      <c r="Y14" s="10">
        <v>7</v>
      </c>
      <c r="Z14" s="10">
        <v>7.6</v>
      </c>
      <c r="AA14" s="10">
        <v>8.6</v>
      </c>
      <c r="AB14" s="10">
        <v>9.5</v>
      </c>
      <c r="AC14" s="10">
        <v>10.3</v>
      </c>
      <c r="AD14" s="10">
        <v>11.3</v>
      </c>
      <c r="AE14" s="10">
        <v>12.1</v>
      </c>
      <c r="AF14" s="10">
        <v>12.9</v>
      </c>
      <c r="AG14" s="10">
        <v>13.5</v>
      </c>
      <c r="AH14" s="10">
        <v>14.4</v>
      </c>
      <c r="AI14" s="10">
        <v>15.2</v>
      </c>
      <c r="AJ14" s="10">
        <v>16.100000000000001</v>
      </c>
      <c r="AK14" s="10">
        <v>16.8</v>
      </c>
      <c r="AL14" s="12">
        <v>17.8</v>
      </c>
    </row>
    <row r="15" spans="1:38" ht="12.75" thickBot="1" x14ac:dyDescent="0.2">
      <c r="B15" s="181"/>
      <c r="D15" s="22">
        <f t="shared" ref="D15:D18" si="17">$B$4</f>
        <v>300</v>
      </c>
      <c r="E15" s="38">
        <f t="shared" ref="E15:E19" si="18">$B$4</f>
        <v>300</v>
      </c>
      <c r="F15" s="62">
        <f t="shared" ref="F15:I16" si="19">$B$3</f>
        <v>260</v>
      </c>
      <c r="G15" s="75">
        <f t="shared" si="19"/>
        <v>260</v>
      </c>
      <c r="H15" s="75">
        <f t="shared" si="19"/>
        <v>260</v>
      </c>
      <c r="I15" s="170">
        <f t="shared" si="19"/>
        <v>260</v>
      </c>
      <c r="J15" s="89">
        <f t="shared" si="16"/>
        <v>200</v>
      </c>
      <c r="K15" s="105">
        <f t="shared" si="16"/>
        <v>200</v>
      </c>
      <c r="L15" s="105">
        <f t="shared" si="16"/>
        <v>200</v>
      </c>
      <c r="M15" s="105">
        <f t="shared" si="16"/>
        <v>200</v>
      </c>
      <c r="N15" s="122">
        <f t="shared" si="16"/>
        <v>200</v>
      </c>
      <c r="O15" s="113">
        <f t="shared" ref="O15:P16" si="20">$B$3</f>
        <v>260</v>
      </c>
      <c r="P15" s="34">
        <f t="shared" si="20"/>
        <v>260</v>
      </c>
      <c r="Q15" s="2" t="s">
        <v>12</v>
      </c>
      <c r="R15" s="9">
        <v>0.7</v>
      </c>
      <c r="S15" s="10">
        <v>1.6</v>
      </c>
      <c r="T15" s="10">
        <v>2.4</v>
      </c>
      <c r="U15" s="10">
        <v>3.2</v>
      </c>
      <c r="V15" s="10">
        <v>4.2</v>
      </c>
      <c r="W15" s="10"/>
      <c r="X15" s="10">
        <v>2</v>
      </c>
      <c r="Y15" s="10">
        <v>2.5</v>
      </c>
      <c r="Z15" s="10">
        <v>3.1</v>
      </c>
      <c r="AA15" s="10">
        <v>4.0999999999999996</v>
      </c>
      <c r="AB15" s="10">
        <v>5</v>
      </c>
      <c r="AC15" s="10">
        <v>5.8</v>
      </c>
      <c r="AD15" s="10">
        <v>6.8</v>
      </c>
      <c r="AE15" s="10">
        <v>7.6</v>
      </c>
      <c r="AF15" s="10">
        <v>8.4</v>
      </c>
      <c r="AG15" s="10">
        <v>9</v>
      </c>
      <c r="AH15" s="10">
        <v>9.9</v>
      </c>
      <c r="AI15" s="10">
        <v>10.7</v>
      </c>
      <c r="AJ15" s="10">
        <v>11.6</v>
      </c>
      <c r="AK15" s="10">
        <v>12.3</v>
      </c>
      <c r="AL15" s="11">
        <v>13.3</v>
      </c>
    </row>
    <row r="16" spans="1:38" ht="12.75" thickBot="1" x14ac:dyDescent="0.2">
      <c r="B16" s="181"/>
      <c r="D16" s="19">
        <f t="shared" si="17"/>
        <v>300</v>
      </c>
      <c r="E16" s="42">
        <f t="shared" si="18"/>
        <v>300</v>
      </c>
      <c r="F16" s="37">
        <f t="shared" si="19"/>
        <v>260</v>
      </c>
      <c r="G16" s="35">
        <f t="shared" si="19"/>
        <v>260</v>
      </c>
      <c r="H16" s="35">
        <f t="shared" si="19"/>
        <v>260</v>
      </c>
      <c r="I16" s="74">
        <f t="shared" si="19"/>
        <v>260</v>
      </c>
      <c r="J16" s="90">
        <f t="shared" si="16"/>
        <v>200</v>
      </c>
      <c r="K16" s="87">
        <f t="shared" si="16"/>
        <v>200</v>
      </c>
      <c r="L16" s="87">
        <f t="shared" si="16"/>
        <v>200</v>
      </c>
      <c r="M16" s="112">
        <f t="shared" si="16"/>
        <v>200</v>
      </c>
      <c r="N16" s="115">
        <f t="shared" si="16"/>
        <v>200</v>
      </c>
      <c r="O16" s="114">
        <f t="shared" si="20"/>
        <v>260</v>
      </c>
      <c r="P16" s="123">
        <f t="shared" si="20"/>
        <v>260</v>
      </c>
      <c r="Q16" s="143">
        <f t="shared" ref="Q16:T20" si="21">$B$2</f>
        <v>200</v>
      </c>
      <c r="R16" s="2" t="s">
        <v>13</v>
      </c>
      <c r="S16" s="9">
        <v>0.9</v>
      </c>
      <c r="T16" s="10">
        <v>1.7</v>
      </c>
      <c r="U16" s="10">
        <v>2.5</v>
      </c>
      <c r="V16" s="10">
        <v>3.5</v>
      </c>
      <c r="W16" s="10"/>
      <c r="X16" s="10">
        <v>2.7</v>
      </c>
      <c r="Y16" s="10">
        <v>3.2</v>
      </c>
      <c r="Z16" s="10">
        <v>3.8</v>
      </c>
      <c r="AA16" s="10">
        <v>4.8</v>
      </c>
      <c r="AB16" s="10">
        <v>5.7</v>
      </c>
      <c r="AC16" s="10">
        <v>6.5</v>
      </c>
      <c r="AD16" s="10">
        <v>7.5</v>
      </c>
      <c r="AE16" s="10">
        <v>8.3000000000000007</v>
      </c>
      <c r="AF16" s="10">
        <v>9.1</v>
      </c>
      <c r="AG16" s="10">
        <v>9.6999999999999993</v>
      </c>
      <c r="AH16" s="10">
        <v>10.6</v>
      </c>
      <c r="AI16" s="10">
        <v>11.4</v>
      </c>
      <c r="AJ16" s="10">
        <v>12.3</v>
      </c>
      <c r="AK16" s="10">
        <v>13</v>
      </c>
      <c r="AL16" s="12">
        <v>14</v>
      </c>
    </row>
    <row r="17" spans="2:38" ht="12.75" thickBot="1" x14ac:dyDescent="0.2">
      <c r="B17" s="181"/>
      <c r="D17" s="19">
        <f t="shared" si="17"/>
        <v>300</v>
      </c>
      <c r="E17" s="39">
        <f t="shared" si="18"/>
        <v>300</v>
      </c>
      <c r="F17" s="60">
        <f t="shared" ref="F17:F20" si="22">$B$4</f>
        <v>300</v>
      </c>
      <c r="G17" s="59">
        <f t="shared" ref="G17:J17" si="23">$B$3</f>
        <v>260</v>
      </c>
      <c r="H17" s="35">
        <f t="shared" si="23"/>
        <v>260</v>
      </c>
      <c r="I17" s="35">
        <f t="shared" si="23"/>
        <v>260</v>
      </c>
      <c r="J17" s="34">
        <f t="shared" si="23"/>
        <v>260</v>
      </c>
      <c r="K17" s="56">
        <f>$B$2</f>
        <v>200</v>
      </c>
      <c r="L17" s="106">
        <f t="shared" si="16"/>
        <v>200</v>
      </c>
      <c r="M17" s="113">
        <f t="shared" ref="M17:O19" si="24">$B$3</f>
        <v>260</v>
      </c>
      <c r="N17" s="75">
        <f t="shared" si="24"/>
        <v>260</v>
      </c>
      <c r="O17" s="74">
        <f t="shared" si="24"/>
        <v>260</v>
      </c>
      <c r="P17" s="22">
        <f t="shared" ref="P17:P20" si="25">$B$4</f>
        <v>300</v>
      </c>
      <c r="Q17" s="144">
        <f t="shared" si="21"/>
        <v>200</v>
      </c>
      <c r="R17" s="73">
        <f t="shared" si="21"/>
        <v>200</v>
      </c>
      <c r="S17" s="2" t="s">
        <v>14</v>
      </c>
      <c r="T17" s="9">
        <v>0.8</v>
      </c>
      <c r="U17" s="10">
        <v>1.6</v>
      </c>
      <c r="V17" s="10">
        <v>2.6</v>
      </c>
      <c r="W17" s="10"/>
      <c r="X17" s="10">
        <v>3.6</v>
      </c>
      <c r="Y17" s="10">
        <v>4.0999999999999996</v>
      </c>
      <c r="Z17" s="10">
        <v>4.7</v>
      </c>
      <c r="AA17" s="10">
        <v>5.7</v>
      </c>
      <c r="AB17" s="10">
        <v>6.6</v>
      </c>
      <c r="AC17" s="10">
        <v>7.4</v>
      </c>
      <c r="AD17" s="10">
        <v>8.4</v>
      </c>
      <c r="AE17" s="10">
        <v>9.1999999999999993</v>
      </c>
      <c r="AF17" s="10">
        <v>10</v>
      </c>
      <c r="AG17" s="10">
        <v>10.6</v>
      </c>
      <c r="AH17" s="10">
        <v>11.5</v>
      </c>
      <c r="AI17" s="10">
        <v>12.3</v>
      </c>
      <c r="AJ17" s="10">
        <v>13.2</v>
      </c>
      <c r="AK17" s="10">
        <v>13.9</v>
      </c>
      <c r="AL17" s="11">
        <v>14.9</v>
      </c>
    </row>
    <row r="18" spans="2:38" ht="12.75" thickBot="1" x14ac:dyDescent="0.2">
      <c r="B18" s="181"/>
      <c r="D18" s="20">
        <f t="shared" si="17"/>
        <v>300</v>
      </c>
      <c r="E18" s="39">
        <f t="shared" si="18"/>
        <v>300</v>
      </c>
      <c r="F18" s="61">
        <f t="shared" si="22"/>
        <v>300</v>
      </c>
      <c r="G18" s="38">
        <f t="shared" ref="G18:G20" si="26">$B$4</f>
        <v>300</v>
      </c>
      <c r="H18" s="81">
        <f t="shared" ref="H18:K18" si="27">$B$3</f>
        <v>260</v>
      </c>
      <c r="I18" s="35">
        <f t="shared" si="27"/>
        <v>260</v>
      </c>
      <c r="J18" s="35">
        <f t="shared" si="27"/>
        <v>260</v>
      </c>
      <c r="K18" s="34">
        <f t="shared" si="27"/>
        <v>260</v>
      </c>
      <c r="L18" s="107">
        <f t="shared" si="16"/>
        <v>200</v>
      </c>
      <c r="M18" s="114">
        <f t="shared" si="24"/>
        <v>260</v>
      </c>
      <c r="N18" s="35">
        <f t="shared" si="24"/>
        <v>260</v>
      </c>
      <c r="O18" s="74">
        <f t="shared" si="24"/>
        <v>260</v>
      </c>
      <c r="P18" s="19">
        <f t="shared" si="25"/>
        <v>300</v>
      </c>
      <c r="Q18" s="79">
        <f t="shared" si="21"/>
        <v>200</v>
      </c>
      <c r="R18" s="87">
        <f t="shared" si="21"/>
        <v>200</v>
      </c>
      <c r="S18" s="73">
        <f t="shared" si="21"/>
        <v>200</v>
      </c>
      <c r="T18" s="2" t="s">
        <v>15</v>
      </c>
      <c r="U18" s="9">
        <v>0.8</v>
      </c>
      <c r="V18" s="10">
        <v>1.8</v>
      </c>
      <c r="W18" s="10"/>
      <c r="X18" s="10">
        <v>4.4000000000000004</v>
      </c>
      <c r="Y18" s="10">
        <v>4.9000000000000004</v>
      </c>
      <c r="Z18" s="10">
        <v>5.5</v>
      </c>
      <c r="AA18" s="10">
        <v>6.5</v>
      </c>
      <c r="AB18" s="10">
        <v>7.4</v>
      </c>
      <c r="AC18" s="10">
        <v>8.1999999999999993</v>
      </c>
      <c r="AD18" s="10">
        <v>9.1999999999999993</v>
      </c>
      <c r="AE18" s="10">
        <v>10</v>
      </c>
      <c r="AF18" s="10">
        <v>10.8</v>
      </c>
      <c r="AG18" s="10">
        <v>11.4</v>
      </c>
      <c r="AH18" s="10">
        <v>12.3</v>
      </c>
      <c r="AI18" s="10">
        <v>13.1</v>
      </c>
      <c r="AJ18" s="10">
        <v>14</v>
      </c>
      <c r="AK18" s="10">
        <v>14.7</v>
      </c>
      <c r="AL18" s="12">
        <v>15.7</v>
      </c>
    </row>
    <row r="19" spans="2:38" ht="12.75" thickBot="1" x14ac:dyDescent="0.2">
      <c r="B19" s="181"/>
      <c r="D19" s="23">
        <f t="shared" ref="D19:D20" si="28">$B$5</f>
        <v>330</v>
      </c>
      <c r="E19" s="43">
        <f t="shared" si="18"/>
        <v>300</v>
      </c>
      <c r="F19" s="61">
        <f t="shared" si="22"/>
        <v>300</v>
      </c>
      <c r="G19" s="39">
        <f t="shared" si="26"/>
        <v>300</v>
      </c>
      <c r="H19" s="38">
        <f t="shared" ref="H19:H20" si="29">$B$4</f>
        <v>300</v>
      </c>
      <c r="I19" s="59">
        <f t="shared" ref="I19:L19" si="30">$B$3</f>
        <v>260</v>
      </c>
      <c r="J19" s="35">
        <f t="shared" si="30"/>
        <v>260</v>
      </c>
      <c r="K19" s="74">
        <f t="shared" si="30"/>
        <v>260</v>
      </c>
      <c r="L19" s="75">
        <f t="shared" si="30"/>
        <v>260</v>
      </c>
      <c r="M19" s="35">
        <f t="shared" si="24"/>
        <v>260</v>
      </c>
      <c r="N19" s="35">
        <f t="shared" si="24"/>
        <v>260</v>
      </c>
      <c r="O19" s="123">
        <f t="shared" si="24"/>
        <v>260</v>
      </c>
      <c r="P19" s="19">
        <f t="shared" si="25"/>
        <v>300</v>
      </c>
      <c r="Q19" s="145">
        <v>260</v>
      </c>
      <c r="R19" s="56">
        <f t="shared" si="21"/>
        <v>200</v>
      </c>
      <c r="S19" s="87">
        <f t="shared" si="21"/>
        <v>200</v>
      </c>
      <c r="T19" s="73">
        <f t="shared" si="21"/>
        <v>200</v>
      </c>
      <c r="U19" s="2" t="s">
        <v>16</v>
      </c>
      <c r="V19" s="9">
        <v>1</v>
      </c>
      <c r="W19" s="10"/>
      <c r="X19" s="10">
        <v>5.2</v>
      </c>
      <c r="Y19" s="10">
        <v>5.7</v>
      </c>
      <c r="Z19" s="10">
        <v>6.3</v>
      </c>
      <c r="AA19" s="10">
        <v>7.3</v>
      </c>
      <c r="AB19" s="10">
        <v>8.1999999999999993</v>
      </c>
      <c r="AC19" s="10">
        <v>9</v>
      </c>
      <c r="AD19" s="10">
        <v>10</v>
      </c>
      <c r="AE19" s="10">
        <v>10.8</v>
      </c>
      <c r="AF19" s="10">
        <v>11.6</v>
      </c>
      <c r="AG19" s="10">
        <v>12.2</v>
      </c>
      <c r="AH19" s="10">
        <v>13.1</v>
      </c>
      <c r="AI19" s="10">
        <v>13.9</v>
      </c>
      <c r="AJ19" s="10">
        <v>14.8</v>
      </c>
      <c r="AK19" s="10">
        <v>15.5</v>
      </c>
      <c r="AL19" s="11">
        <v>16.5</v>
      </c>
    </row>
    <row r="20" spans="2:38" ht="12.75" thickBot="1" x14ac:dyDescent="0.2">
      <c r="B20" s="181"/>
      <c r="D20" s="24">
        <f t="shared" si="28"/>
        <v>330</v>
      </c>
      <c r="E20" s="44">
        <f>$B$5</f>
        <v>330</v>
      </c>
      <c r="F20" s="63">
        <f t="shared" si="22"/>
        <v>300</v>
      </c>
      <c r="G20" s="40">
        <f t="shared" si="26"/>
        <v>300</v>
      </c>
      <c r="H20" s="40">
        <f t="shared" si="29"/>
        <v>300</v>
      </c>
      <c r="I20" s="169">
        <f>$B$4</f>
        <v>300</v>
      </c>
      <c r="J20" s="59">
        <f t="shared" ref="J20:N20" si="31">$B$3</f>
        <v>260</v>
      </c>
      <c r="K20" s="108">
        <f t="shared" si="31"/>
        <v>260</v>
      </c>
      <c r="L20" s="108">
        <f t="shared" si="31"/>
        <v>260</v>
      </c>
      <c r="M20" s="108">
        <f t="shared" si="31"/>
        <v>260</v>
      </c>
      <c r="N20" s="123">
        <f t="shared" si="31"/>
        <v>260</v>
      </c>
      <c r="O20" s="128">
        <f>$B$4</f>
        <v>300</v>
      </c>
      <c r="P20" s="132">
        <f t="shared" si="25"/>
        <v>300</v>
      </c>
      <c r="Q20" s="37">
        <v>260</v>
      </c>
      <c r="R20" s="121">
        <v>260</v>
      </c>
      <c r="S20" s="88">
        <f t="shared" si="21"/>
        <v>200</v>
      </c>
      <c r="T20" s="112">
        <f t="shared" si="21"/>
        <v>200</v>
      </c>
      <c r="U20" s="120">
        <f>$B$2</f>
        <v>200</v>
      </c>
      <c r="V20" s="14" t="s">
        <v>17</v>
      </c>
      <c r="W20" s="9"/>
      <c r="X20" s="10">
        <v>6.2</v>
      </c>
      <c r="Y20" s="10">
        <v>6.7</v>
      </c>
      <c r="Z20" s="10">
        <v>7.3</v>
      </c>
      <c r="AA20" s="10">
        <v>8.3000000000000007</v>
      </c>
      <c r="AB20" s="10">
        <v>9.1999999999999993</v>
      </c>
      <c r="AC20" s="10">
        <v>10</v>
      </c>
      <c r="AD20" s="10">
        <v>11</v>
      </c>
      <c r="AE20" s="10">
        <v>11.8</v>
      </c>
      <c r="AF20" s="10">
        <v>12.6</v>
      </c>
      <c r="AG20" s="10">
        <v>13.2</v>
      </c>
      <c r="AH20" s="10">
        <v>14.1</v>
      </c>
      <c r="AI20" s="10">
        <v>14.9</v>
      </c>
      <c r="AJ20" s="10">
        <v>15.8</v>
      </c>
      <c r="AK20" s="10">
        <v>16.5</v>
      </c>
      <c r="AL20" s="12">
        <v>17.5</v>
      </c>
    </row>
    <row r="21" spans="2:38" ht="12.75" thickBot="1" x14ac:dyDescent="0.2">
      <c r="B21" s="181"/>
      <c r="D21" s="25" t="s">
        <v>18</v>
      </c>
      <c r="E21" s="45" t="s">
        <v>18</v>
      </c>
      <c r="F21" s="64" t="s">
        <v>19</v>
      </c>
      <c r="G21" s="45" t="s">
        <v>19</v>
      </c>
      <c r="H21" s="45" t="s">
        <v>19</v>
      </c>
      <c r="I21" s="45" t="s">
        <v>19</v>
      </c>
      <c r="J21" s="45" t="s">
        <v>19</v>
      </c>
      <c r="K21" s="45" t="s">
        <v>19</v>
      </c>
      <c r="L21" s="45" t="s">
        <v>19</v>
      </c>
      <c r="M21" s="45" t="s">
        <v>19</v>
      </c>
      <c r="N21" s="45" t="s">
        <v>19</v>
      </c>
      <c r="O21" s="45" t="s">
        <v>19</v>
      </c>
      <c r="P21" s="45" t="s">
        <v>19</v>
      </c>
      <c r="Q21" s="45" t="s">
        <v>19</v>
      </c>
      <c r="R21" s="45" t="s">
        <v>19</v>
      </c>
      <c r="S21" s="45" t="s">
        <v>19</v>
      </c>
      <c r="T21" s="45" t="s">
        <v>19</v>
      </c>
      <c r="U21" s="45" t="s">
        <v>19</v>
      </c>
      <c r="V21" s="153" t="s">
        <v>18</v>
      </c>
      <c r="W21" s="2" t="s">
        <v>20</v>
      </c>
      <c r="X21" s="9">
        <v>0.7</v>
      </c>
      <c r="Y21" s="10">
        <v>1.2</v>
      </c>
      <c r="Z21" s="10">
        <v>1.8</v>
      </c>
      <c r="AA21" s="10">
        <v>2.8</v>
      </c>
      <c r="AB21" s="10">
        <v>3.7</v>
      </c>
      <c r="AC21" s="10">
        <v>4.5</v>
      </c>
      <c r="AD21" s="10">
        <v>5.5</v>
      </c>
      <c r="AE21" s="10">
        <v>6.3</v>
      </c>
      <c r="AF21" s="10">
        <v>7.1</v>
      </c>
      <c r="AG21" s="10">
        <v>7.7</v>
      </c>
      <c r="AH21" s="10">
        <v>8.6</v>
      </c>
      <c r="AI21" s="10">
        <v>9.4</v>
      </c>
      <c r="AJ21" s="10">
        <v>10.3</v>
      </c>
      <c r="AK21" s="10">
        <v>11</v>
      </c>
      <c r="AL21" s="11">
        <v>12</v>
      </c>
    </row>
    <row r="22" spans="2:38" ht="12.75" thickBot="1" x14ac:dyDescent="0.2">
      <c r="B22" s="181"/>
      <c r="D22" s="26">
        <f t="shared" ref="D22:D26" si="32">$B$4</f>
        <v>300</v>
      </c>
      <c r="E22" s="46">
        <f t="shared" ref="E22:H23" si="33">$B$3</f>
        <v>260</v>
      </c>
      <c r="F22" s="46">
        <f t="shared" si="33"/>
        <v>260</v>
      </c>
      <c r="G22" s="76">
        <f t="shared" si="33"/>
        <v>260</v>
      </c>
      <c r="H22" s="82">
        <f t="shared" si="33"/>
        <v>260</v>
      </c>
      <c r="I22" s="171">
        <f t="shared" ref="I22:J24" si="34">$B$2</f>
        <v>200</v>
      </c>
      <c r="J22" s="73">
        <f t="shared" si="34"/>
        <v>200</v>
      </c>
      <c r="K22" s="101" t="s">
        <v>21</v>
      </c>
      <c r="L22" s="109">
        <f t="shared" ref="L22:M23" si="35">$B$2</f>
        <v>200</v>
      </c>
      <c r="M22" s="73">
        <f t="shared" si="35"/>
        <v>200</v>
      </c>
      <c r="N22" s="124">
        <f t="shared" ref="N22:P23" si="36">$B$3</f>
        <v>260</v>
      </c>
      <c r="O22" s="76">
        <f t="shared" si="36"/>
        <v>260</v>
      </c>
      <c r="P22" s="82">
        <f t="shared" si="36"/>
        <v>260</v>
      </c>
      <c r="Q22" s="109">
        <v>200</v>
      </c>
      <c r="R22" s="120">
        <v>200</v>
      </c>
      <c r="S22" s="124">
        <f t="shared" ref="S22:V23" si="37">$B$3</f>
        <v>260</v>
      </c>
      <c r="T22" s="76">
        <f t="shared" si="37"/>
        <v>260</v>
      </c>
      <c r="U22" s="76">
        <f t="shared" si="37"/>
        <v>260</v>
      </c>
      <c r="V22" s="82">
        <f t="shared" si="37"/>
        <v>260</v>
      </c>
      <c r="W22" s="168">
        <f t="shared" ref="W22:AJ36" si="38">$B$2</f>
        <v>200</v>
      </c>
      <c r="X22" s="2" t="s">
        <v>22</v>
      </c>
      <c r="Y22" s="9">
        <v>0.5</v>
      </c>
      <c r="Z22" s="10">
        <v>1.1000000000000001</v>
      </c>
      <c r="AA22" s="10">
        <v>2.1</v>
      </c>
      <c r="AB22" s="10">
        <v>3</v>
      </c>
      <c r="AC22" s="10">
        <v>3.8</v>
      </c>
      <c r="AD22" s="10">
        <v>4.8</v>
      </c>
      <c r="AE22" s="10">
        <v>5.6</v>
      </c>
      <c r="AF22" s="10">
        <v>6.4</v>
      </c>
      <c r="AG22" s="10">
        <v>7</v>
      </c>
      <c r="AH22" s="10">
        <v>7.9</v>
      </c>
      <c r="AI22" s="10">
        <v>8.6999999999999993</v>
      </c>
      <c r="AJ22" s="10">
        <v>9.6</v>
      </c>
      <c r="AK22" s="10">
        <v>10.3</v>
      </c>
      <c r="AL22" s="12">
        <v>11.3</v>
      </c>
    </row>
    <row r="23" spans="2:38" ht="12.75" thickBot="1" x14ac:dyDescent="0.2">
      <c r="B23" s="181"/>
      <c r="D23" s="27">
        <f t="shared" si="32"/>
        <v>300</v>
      </c>
      <c r="E23" s="37">
        <f t="shared" si="33"/>
        <v>260</v>
      </c>
      <c r="F23" s="36">
        <f t="shared" ref="F23:I24" si="39">$B$3</f>
        <v>260</v>
      </c>
      <c r="G23" s="35">
        <f t="shared" si="39"/>
        <v>260</v>
      </c>
      <c r="H23" s="35">
        <f t="shared" si="39"/>
        <v>260</v>
      </c>
      <c r="I23" s="34">
        <f t="shared" si="39"/>
        <v>260</v>
      </c>
      <c r="J23" s="91">
        <f t="shared" si="34"/>
        <v>200</v>
      </c>
      <c r="K23" s="102" t="s">
        <v>23</v>
      </c>
      <c r="L23" s="78">
        <f t="shared" si="35"/>
        <v>200</v>
      </c>
      <c r="M23" s="115">
        <f t="shared" si="35"/>
        <v>200</v>
      </c>
      <c r="N23" s="114">
        <f t="shared" si="36"/>
        <v>260</v>
      </c>
      <c r="O23" s="35">
        <f t="shared" si="36"/>
        <v>260</v>
      </c>
      <c r="P23" s="133">
        <f t="shared" si="36"/>
        <v>260</v>
      </c>
      <c r="Q23" s="146">
        <v>200</v>
      </c>
      <c r="R23" s="113">
        <f>$B$3</f>
        <v>260</v>
      </c>
      <c r="S23" s="35">
        <f t="shared" si="37"/>
        <v>260</v>
      </c>
      <c r="T23" s="35">
        <f t="shared" si="37"/>
        <v>260</v>
      </c>
      <c r="U23" s="35">
        <f t="shared" si="37"/>
        <v>260</v>
      </c>
      <c r="V23" s="133">
        <f t="shared" si="37"/>
        <v>260</v>
      </c>
      <c r="W23" s="78">
        <f t="shared" si="38"/>
        <v>200</v>
      </c>
      <c r="X23" s="73">
        <f t="shared" si="38"/>
        <v>200</v>
      </c>
      <c r="Y23" s="2" t="s">
        <v>24</v>
      </c>
      <c r="Z23" s="9">
        <v>0.6</v>
      </c>
      <c r="AA23" s="10">
        <v>1.6</v>
      </c>
      <c r="AB23" s="10">
        <v>2.5</v>
      </c>
      <c r="AC23" s="10">
        <v>3.3</v>
      </c>
      <c r="AD23" s="10">
        <v>4.3</v>
      </c>
      <c r="AE23" s="10">
        <v>5.0999999999999996</v>
      </c>
      <c r="AF23" s="10">
        <v>5.9</v>
      </c>
      <c r="AG23" s="10">
        <v>6.5</v>
      </c>
      <c r="AH23" s="10">
        <v>7.4</v>
      </c>
      <c r="AI23" s="10">
        <v>8.1999999999999993</v>
      </c>
      <c r="AJ23" s="10">
        <v>9.1</v>
      </c>
      <c r="AK23" s="10">
        <v>9.8000000000000007</v>
      </c>
      <c r="AL23" s="11">
        <v>10.8</v>
      </c>
    </row>
    <row r="24" spans="2:38" ht="12.75" thickBot="1" x14ac:dyDescent="0.2">
      <c r="B24" s="181"/>
      <c r="D24" s="27">
        <f t="shared" si="32"/>
        <v>300</v>
      </c>
      <c r="E24" s="47">
        <f t="shared" ref="E24:E27" si="40">$B$4</f>
        <v>300</v>
      </c>
      <c r="F24" s="59">
        <f t="shared" si="39"/>
        <v>260</v>
      </c>
      <c r="G24" s="35">
        <f t="shared" si="39"/>
        <v>260</v>
      </c>
      <c r="H24" s="35">
        <f t="shared" si="39"/>
        <v>260</v>
      </c>
      <c r="I24" s="74">
        <f t="shared" si="39"/>
        <v>260</v>
      </c>
      <c r="J24" s="92">
        <f t="shared" si="34"/>
        <v>200</v>
      </c>
      <c r="K24" s="102" t="s">
        <v>25</v>
      </c>
      <c r="L24" s="107">
        <f>$B$2</f>
        <v>200</v>
      </c>
      <c r="M24" s="113">
        <f t="shared" ref="M24:O24" si="41">$B$3</f>
        <v>260</v>
      </c>
      <c r="N24" s="35">
        <f t="shared" si="41"/>
        <v>260</v>
      </c>
      <c r="O24" s="74">
        <f t="shared" si="41"/>
        <v>260</v>
      </c>
      <c r="P24" s="134">
        <f t="shared" ref="P24:P27" si="42">$B$4</f>
        <v>300</v>
      </c>
      <c r="Q24" s="113">
        <f t="shared" ref="Q24:T25" si="43">$B$3</f>
        <v>260</v>
      </c>
      <c r="R24" s="35">
        <f t="shared" si="43"/>
        <v>260</v>
      </c>
      <c r="S24" s="35">
        <f t="shared" si="43"/>
        <v>260</v>
      </c>
      <c r="T24" s="35">
        <f t="shared" si="43"/>
        <v>260</v>
      </c>
      <c r="U24" s="123">
        <f>$B$3</f>
        <v>260</v>
      </c>
      <c r="V24" s="18">
        <f t="shared" ref="V24:V28" si="44">$B$4</f>
        <v>300</v>
      </c>
      <c r="W24" s="78">
        <f t="shared" si="38"/>
        <v>200</v>
      </c>
      <c r="X24" s="87">
        <f t="shared" si="38"/>
        <v>200</v>
      </c>
      <c r="Y24" s="73">
        <f t="shared" si="38"/>
        <v>200</v>
      </c>
      <c r="Z24" s="2" t="s">
        <v>26</v>
      </c>
      <c r="AA24" s="9">
        <v>1</v>
      </c>
      <c r="AB24" s="10">
        <v>1.9</v>
      </c>
      <c r="AC24" s="10">
        <v>2.7</v>
      </c>
      <c r="AD24" s="10">
        <v>3.7</v>
      </c>
      <c r="AE24" s="10">
        <v>4.5</v>
      </c>
      <c r="AF24" s="10">
        <v>5.3</v>
      </c>
      <c r="AG24" s="10">
        <v>5.9</v>
      </c>
      <c r="AH24" s="10">
        <v>6.8</v>
      </c>
      <c r="AI24" s="10">
        <v>7.6</v>
      </c>
      <c r="AJ24" s="10">
        <v>8.5</v>
      </c>
      <c r="AK24" s="10">
        <v>9.1999999999999993</v>
      </c>
      <c r="AL24" s="12">
        <v>10.199999999999999</v>
      </c>
    </row>
    <row r="25" spans="2:38" ht="12.75" thickBot="1" x14ac:dyDescent="0.2">
      <c r="B25" s="181"/>
      <c r="D25" s="27">
        <f t="shared" si="32"/>
        <v>300</v>
      </c>
      <c r="E25" s="48">
        <f t="shared" si="40"/>
        <v>300</v>
      </c>
      <c r="F25" s="65">
        <f t="shared" ref="F25:F28" si="45">$B$4</f>
        <v>300</v>
      </c>
      <c r="G25" s="59">
        <f t="shared" ref="G25:J25" si="46">$B$3</f>
        <v>260</v>
      </c>
      <c r="H25" s="83">
        <f t="shared" si="46"/>
        <v>260</v>
      </c>
      <c r="I25" s="35">
        <f t="shared" si="46"/>
        <v>260</v>
      </c>
      <c r="J25" s="93">
        <f t="shared" si="46"/>
        <v>260</v>
      </c>
      <c r="K25" s="102" t="s">
        <v>25</v>
      </c>
      <c r="L25" s="62">
        <f t="shared" ref="L25:N27" si="47">$B$3</f>
        <v>260</v>
      </c>
      <c r="M25" s="35">
        <f t="shared" si="47"/>
        <v>260</v>
      </c>
      <c r="N25" s="35">
        <f t="shared" si="47"/>
        <v>260</v>
      </c>
      <c r="O25" s="123">
        <f>$B$3</f>
        <v>260</v>
      </c>
      <c r="P25" s="135">
        <f t="shared" si="42"/>
        <v>300</v>
      </c>
      <c r="Q25" s="36">
        <f t="shared" si="43"/>
        <v>260</v>
      </c>
      <c r="R25" s="35">
        <f t="shared" si="43"/>
        <v>260</v>
      </c>
      <c r="S25" s="83">
        <f t="shared" si="43"/>
        <v>260</v>
      </c>
      <c r="T25" s="123">
        <f t="shared" si="43"/>
        <v>260</v>
      </c>
      <c r="U25" s="149">
        <f t="shared" ref="U25:U29" si="48">$B$4</f>
        <v>300</v>
      </c>
      <c r="V25" s="154">
        <f t="shared" si="44"/>
        <v>300</v>
      </c>
      <c r="W25" s="56">
        <f t="shared" si="38"/>
        <v>200</v>
      </c>
      <c r="X25" s="87">
        <f t="shared" si="38"/>
        <v>200</v>
      </c>
      <c r="Y25" s="87">
        <f t="shared" si="38"/>
        <v>200</v>
      </c>
      <c r="Z25" s="73">
        <f t="shared" si="38"/>
        <v>200</v>
      </c>
      <c r="AA25" s="2" t="s">
        <v>27</v>
      </c>
      <c r="AB25" s="9">
        <v>0.9</v>
      </c>
      <c r="AC25" s="10">
        <v>1.7</v>
      </c>
      <c r="AD25" s="10">
        <v>2.7</v>
      </c>
      <c r="AE25" s="10">
        <v>3.5</v>
      </c>
      <c r="AF25" s="10">
        <v>4.3</v>
      </c>
      <c r="AG25" s="10">
        <v>4.9000000000000004</v>
      </c>
      <c r="AH25" s="10">
        <v>5.8</v>
      </c>
      <c r="AI25" s="10">
        <v>6.6</v>
      </c>
      <c r="AJ25" s="10">
        <v>7.5</v>
      </c>
      <c r="AK25" s="10">
        <v>8.1999999999999993</v>
      </c>
      <c r="AL25" s="11">
        <v>9.1999999999999993</v>
      </c>
    </row>
    <row r="26" spans="2:38" ht="12.75" thickBot="1" x14ac:dyDescent="0.2">
      <c r="B26" s="181"/>
      <c r="D26" s="28">
        <f t="shared" si="32"/>
        <v>300</v>
      </c>
      <c r="E26" s="48">
        <f t="shared" si="40"/>
        <v>300</v>
      </c>
      <c r="F26" s="66">
        <f t="shared" si="45"/>
        <v>300</v>
      </c>
      <c r="G26" s="47">
        <f t="shared" ref="G26:G30" si="49">$B$4</f>
        <v>300</v>
      </c>
      <c r="H26" s="59">
        <f t="shared" ref="H26:J26" si="50">$B$3</f>
        <v>260</v>
      </c>
      <c r="I26" s="35">
        <f t="shared" si="50"/>
        <v>260</v>
      </c>
      <c r="J26" s="74">
        <f t="shared" si="50"/>
        <v>260</v>
      </c>
      <c r="K26" s="102" t="s">
        <v>25</v>
      </c>
      <c r="L26" s="36">
        <f t="shared" si="47"/>
        <v>260</v>
      </c>
      <c r="M26" s="35">
        <f t="shared" si="47"/>
        <v>260</v>
      </c>
      <c r="N26" s="125">
        <f t="shared" si="47"/>
        <v>260</v>
      </c>
      <c r="O26" s="116">
        <f t="shared" ref="O26:O30" si="51">$B$4</f>
        <v>300</v>
      </c>
      <c r="P26" s="136">
        <f t="shared" si="42"/>
        <v>300</v>
      </c>
      <c r="Q26" s="36">
        <f t="shared" ref="Q26:S26" si="52">$B$3</f>
        <v>260</v>
      </c>
      <c r="R26" s="35">
        <f t="shared" si="52"/>
        <v>260</v>
      </c>
      <c r="S26" s="123">
        <f t="shared" si="52"/>
        <v>260</v>
      </c>
      <c r="T26" s="149">
        <f t="shared" ref="T26:T30" si="53">$B$4</f>
        <v>300</v>
      </c>
      <c r="U26" s="39">
        <f t="shared" si="48"/>
        <v>300</v>
      </c>
      <c r="V26" s="154">
        <f t="shared" si="44"/>
        <v>300</v>
      </c>
      <c r="W26" s="57">
        <f t="shared" ref="W26:W29" si="54">$B$3</f>
        <v>260</v>
      </c>
      <c r="X26" s="56">
        <f t="shared" si="38"/>
        <v>200</v>
      </c>
      <c r="Y26" s="112">
        <f t="shared" si="38"/>
        <v>200</v>
      </c>
      <c r="Z26" s="87">
        <f t="shared" si="38"/>
        <v>200</v>
      </c>
      <c r="AA26" s="73">
        <f t="shared" si="38"/>
        <v>200</v>
      </c>
      <c r="AB26" s="2" t="s">
        <v>28</v>
      </c>
      <c r="AC26" s="9">
        <v>0.8</v>
      </c>
      <c r="AD26" s="10">
        <v>1.8</v>
      </c>
      <c r="AE26" s="10">
        <v>2.6</v>
      </c>
      <c r="AF26" s="10">
        <v>3.4</v>
      </c>
      <c r="AG26" s="10">
        <v>4</v>
      </c>
      <c r="AH26" s="10">
        <v>4.9000000000000004</v>
      </c>
      <c r="AI26" s="10">
        <v>5.7</v>
      </c>
      <c r="AJ26" s="10">
        <v>6.6</v>
      </c>
      <c r="AK26" s="10">
        <v>7.3</v>
      </c>
      <c r="AL26" s="12">
        <v>8.3000000000000007</v>
      </c>
    </row>
    <row r="27" spans="2:38" ht="12.75" thickBot="1" x14ac:dyDescent="0.2">
      <c r="B27" s="181"/>
      <c r="D27" s="23">
        <f t="shared" ref="D27:D31" si="55">$B$5</f>
        <v>330</v>
      </c>
      <c r="E27" s="49">
        <f t="shared" si="40"/>
        <v>300</v>
      </c>
      <c r="F27" s="66">
        <f t="shared" si="45"/>
        <v>300</v>
      </c>
      <c r="G27" s="48">
        <f t="shared" si="49"/>
        <v>300</v>
      </c>
      <c r="H27" s="47">
        <f t="shared" ref="H27:H31" si="56">$B$4</f>
        <v>300</v>
      </c>
      <c r="I27" s="59">
        <f t="shared" ref="I27:J27" si="57">$B$3</f>
        <v>260</v>
      </c>
      <c r="J27" s="74">
        <f t="shared" si="57"/>
        <v>260</v>
      </c>
      <c r="K27" s="102" t="s">
        <v>25</v>
      </c>
      <c r="L27" s="36">
        <f t="shared" si="47"/>
        <v>260</v>
      </c>
      <c r="M27" s="108">
        <f t="shared" si="47"/>
        <v>260</v>
      </c>
      <c r="N27" s="123">
        <f t="shared" si="47"/>
        <v>260</v>
      </c>
      <c r="O27" s="129">
        <f t="shared" si="51"/>
        <v>300</v>
      </c>
      <c r="P27" s="137">
        <f t="shared" si="42"/>
        <v>300</v>
      </c>
      <c r="Q27" s="36">
        <f t="shared" ref="Q27:R27" si="58">$B$3</f>
        <v>260</v>
      </c>
      <c r="R27" s="123">
        <f t="shared" si="58"/>
        <v>260</v>
      </c>
      <c r="S27" s="149">
        <f t="shared" ref="S27:S31" si="59">$B$4</f>
        <v>300</v>
      </c>
      <c r="T27" s="39">
        <f t="shared" si="53"/>
        <v>300</v>
      </c>
      <c r="U27" s="39">
        <f t="shared" si="48"/>
        <v>300</v>
      </c>
      <c r="V27" s="154">
        <f t="shared" si="44"/>
        <v>300</v>
      </c>
      <c r="W27" s="36">
        <f t="shared" si="54"/>
        <v>260</v>
      </c>
      <c r="X27" s="75">
        <f t="shared" ref="X27:X31" si="60">$B$3</f>
        <v>260</v>
      </c>
      <c r="Y27" s="34">
        <f t="shared" ref="Y27:Y31" si="61">$B$3</f>
        <v>260</v>
      </c>
      <c r="Z27" s="56">
        <f t="shared" si="38"/>
        <v>200</v>
      </c>
      <c r="AA27" s="87">
        <f t="shared" si="38"/>
        <v>200</v>
      </c>
      <c r="AB27" s="73">
        <f t="shared" si="38"/>
        <v>200</v>
      </c>
      <c r="AC27" s="2" t="s">
        <v>29</v>
      </c>
      <c r="AD27" s="9">
        <v>1</v>
      </c>
      <c r="AE27" s="10">
        <v>1.8</v>
      </c>
      <c r="AF27" s="10">
        <v>2.6</v>
      </c>
      <c r="AG27" s="10">
        <v>3.2</v>
      </c>
      <c r="AH27" s="10">
        <v>4.0999999999999996</v>
      </c>
      <c r="AI27" s="10">
        <v>4.9000000000000004</v>
      </c>
      <c r="AJ27" s="10">
        <v>5.8</v>
      </c>
      <c r="AK27" s="10">
        <v>6.5</v>
      </c>
      <c r="AL27" s="11">
        <v>7.5</v>
      </c>
    </row>
    <row r="28" spans="2:38" ht="12.75" thickBot="1" x14ac:dyDescent="0.2">
      <c r="B28" s="181"/>
      <c r="D28" s="29">
        <f t="shared" si="55"/>
        <v>330</v>
      </c>
      <c r="E28" s="50">
        <f t="shared" ref="E28:E32" si="62">$B$5</f>
        <v>330</v>
      </c>
      <c r="F28" s="49">
        <f t="shared" si="45"/>
        <v>300</v>
      </c>
      <c r="G28" s="48">
        <f t="shared" si="49"/>
        <v>300</v>
      </c>
      <c r="H28" s="48">
        <f t="shared" si="56"/>
        <v>300</v>
      </c>
      <c r="I28" s="47">
        <f t="shared" ref="I28:I32" si="63">$B$4</f>
        <v>300</v>
      </c>
      <c r="J28" s="94">
        <f>$B$3</f>
        <v>260</v>
      </c>
      <c r="K28" s="102" t="s">
        <v>30</v>
      </c>
      <c r="L28" s="94">
        <f>$B$3</f>
        <v>260</v>
      </c>
      <c r="M28" s="116">
        <f t="shared" ref="M28:M32" si="64">$B$4</f>
        <v>300</v>
      </c>
      <c r="N28" s="126">
        <f t="shared" ref="N28:N31" si="65">$B$4</f>
        <v>300</v>
      </c>
      <c r="O28" s="96">
        <f t="shared" si="51"/>
        <v>300</v>
      </c>
      <c r="P28" s="23">
        <f t="shared" ref="P28:P32" si="66">$B$5</f>
        <v>330</v>
      </c>
      <c r="Q28" s="94">
        <f>$B$3</f>
        <v>260</v>
      </c>
      <c r="R28" s="149">
        <f t="shared" ref="R28:R32" si="67">$B$4</f>
        <v>300</v>
      </c>
      <c r="S28" s="39">
        <f t="shared" si="59"/>
        <v>300</v>
      </c>
      <c r="T28" s="39">
        <f t="shared" si="53"/>
        <v>300</v>
      </c>
      <c r="U28" s="39">
        <f t="shared" si="48"/>
        <v>300</v>
      </c>
      <c r="V28" s="155">
        <f t="shared" si="44"/>
        <v>300</v>
      </c>
      <c r="W28" s="36">
        <f t="shared" si="54"/>
        <v>260</v>
      </c>
      <c r="X28" s="35">
        <f t="shared" si="60"/>
        <v>260</v>
      </c>
      <c r="Y28" s="35">
        <f t="shared" si="61"/>
        <v>260</v>
      </c>
      <c r="Z28" s="34">
        <f t="shared" ref="Z28:Z32" si="68">$B$3</f>
        <v>260</v>
      </c>
      <c r="AA28" s="56">
        <f t="shared" si="38"/>
        <v>200</v>
      </c>
      <c r="AB28" s="87">
        <f t="shared" si="38"/>
        <v>200</v>
      </c>
      <c r="AC28" s="73">
        <f t="shared" si="38"/>
        <v>200</v>
      </c>
      <c r="AD28" s="2" t="s">
        <v>31</v>
      </c>
      <c r="AE28" s="9">
        <v>0.8</v>
      </c>
      <c r="AF28" s="10">
        <v>1.6</v>
      </c>
      <c r="AG28" s="10">
        <v>2.2000000000000002</v>
      </c>
      <c r="AH28" s="10">
        <v>3.1</v>
      </c>
      <c r="AI28" s="10">
        <v>3.9</v>
      </c>
      <c r="AJ28" s="10">
        <v>4.8</v>
      </c>
      <c r="AK28" s="10">
        <v>5.5</v>
      </c>
      <c r="AL28" s="12">
        <v>6.5</v>
      </c>
    </row>
    <row r="29" spans="2:38" ht="12.75" thickBot="1" x14ac:dyDescent="0.2">
      <c r="B29" s="181"/>
      <c r="D29" s="29">
        <f t="shared" si="55"/>
        <v>330</v>
      </c>
      <c r="E29" s="51">
        <f t="shared" si="62"/>
        <v>330</v>
      </c>
      <c r="F29" s="67">
        <f t="shared" ref="F29:F33" si="69">$B$5</f>
        <v>330</v>
      </c>
      <c r="G29" s="66">
        <f t="shared" si="49"/>
        <v>300</v>
      </c>
      <c r="H29" s="48">
        <f t="shared" si="56"/>
        <v>300</v>
      </c>
      <c r="I29" s="48">
        <f t="shared" si="63"/>
        <v>300</v>
      </c>
      <c r="J29" s="95">
        <f t="shared" ref="J29:J33" si="70">$B$4</f>
        <v>300</v>
      </c>
      <c r="K29" s="102" t="s">
        <v>30</v>
      </c>
      <c r="L29" s="110">
        <f t="shared" ref="L29:L33" si="71">$B$4</f>
        <v>300</v>
      </c>
      <c r="M29" s="48">
        <f t="shared" si="64"/>
        <v>300</v>
      </c>
      <c r="N29" s="48">
        <f t="shared" si="65"/>
        <v>300</v>
      </c>
      <c r="O29" s="96">
        <f t="shared" si="51"/>
        <v>300</v>
      </c>
      <c r="P29" s="138">
        <f t="shared" si="66"/>
        <v>330</v>
      </c>
      <c r="Q29" s="147">
        <f t="shared" ref="Q29:Q33" si="72">$B$4</f>
        <v>300</v>
      </c>
      <c r="R29" s="39">
        <f t="shared" si="67"/>
        <v>300</v>
      </c>
      <c r="S29" s="39">
        <f t="shared" si="59"/>
        <v>300</v>
      </c>
      <c r="T29" s="39">
        <f t="shared" si="53"/>
        <v>300</v>
      </c>
      <c r="U29" s="150">
        <f t="shared" si="48"/>
        <v>300</v>
      </c>
      <c r="V29" s="23">
        <f>$B$5</f>
        <v>330</v>
      </c>
      <c r="W29" s="59">
        <f t="shared" si="54"/>
        <v>260</v>
      </c>
      <c r="X29" s="35">
        <f t="shared" si="60"/>
        <v>260</v>
      </c>
      <c r="Y29" s="35">
        <f t="shared" si="61"/>
        <v>260</v>
      </c>
      <c r="Z29" s="35">
        <f t="shared" si="68"/>
        <v>260</v>
      </c>
      <c r="AA29" s="34">
        <f t="shared" ref="AA29:AA33" si="73">$B$3</f>
        <v>260</v>
      </c>
      <c r="AB29" s="56">
        <f t="shared" si="38"/>
        <v>200</v>
      </c>
      <c r="AC29" s="87">
        <f t="shared" si="38"/>
        <v>200</v>
      </c>
      <c r="AD29" s="73">
        <f t="shared" si="38"/>
        <v>200</v>
      </c>
      <c r="AE29" s="2" t="s">
        <v>32</v>
      </c>
      <c r="AF29" s="9">
        <v>0.8</v>
      </c>
      <c r="AG29" s="10">
        <v>1.4</v>
      </c>
      <c r="AH29" s="10">
        <v>2.2999999999999998</v>
      </c>
      <c r="AI29" s="10">
        <v>3.1</v>
      </c>
      <c r="AJ29" s="10">
        <v>4</v>
      </c>
      <c r="AK29" s="10">
        <v>4.7</v>
      </c>
      <c r="AL29" s="11">
        <v>5.7</v>
      </c>
    </row>
    <row r="30" spans="2:38" ht="12.75" thickBot="1" x14ac:dyDescent="0.2">
      <c r="B30" s="181"/>
      <c r="D30" s="29">
        <f t="shared" si="55"/>
        <v>330</v>
      </c>
      <c r="E30" s="51">
        <f t="shared" si="62"/>
        <v>330</v>
      </c>
      <c r="F30" s="68">
        <f t="shared" si="69"/>
        <v>330</v>
      </c>
      <c r="G30" s="49">
        <f t="shared" si="49"/>
        <v>300</v>
      </c>
      <c r="H30" s="84">
        <f t="shared" si="56"/>
        <v>300</v>
      </c>
      <c r="I30" s="48">
        <f t="shared" si="63"/>
        <v>300</v>
      </c>
      <c r="J30" s="96">
        <f t="shared" si="70"/>
        <v>300</v>
      </c>
      <c r="K30" s="102" t="s">
        <v>25</v>
      </c>
      <c r="L30" s="66">
        <f t="shared" si="71"/>
        <v>300</v>
      </c>
      <c r="M30" s="48">
        <f t="shared" si="64"/>
        <v>300</v>
      </c>
      <c r="N30" s="84">
        <f t="shared" si="65"/>
        <v>300</v>
      </c>
      <c r="O30" s="117">
        <f t="shared" si="51"/>
        <v>300</v>
      </c>
      <c r="P30" s="138">
        <f t="shared" si="66"/>
        <v>330</v>
      </c>
      <c r="Q30" s="61">
        <f t="shared" si="72"/>
        <v>300</v>
      </c>
      <c r="R30" s="39">
        <f t="shared" si="67"/>
        <v>300</v>
      </c>
      <c r="S30" s="151">
        <f t="shared" si="59"/>
        <v>300</v>
      </c>
      <c r="T30" s="150">
        <f t="shared" si="53"/>
        <v>300</v>
      </c>
      <c r="U30" s="118">
        <f t="shared" ref="U30:V30" si="74">$B$5</f>
        <v>330</v>
      </c>
      <c r="V30" s="139">
        <f t="shared" si="74"/>
        <v>330</v>
      </c>
      <c r="W30" s="60">
        <f t="shared" ref="W30:W35" si="75">$B$4</f>
        <v>300</v>
      </c>
      <c r="X30" s="36">
        <f t="shared" si="60"/>
        <v>260</v>
      </c>
      <c r="Y30" s="35">
        <f t="shared" si="61"/>
        <v>260</v>
      </c>
      <c r="Z30" s="35">
        <f t="shared" si="68"/>
        <v>260</v>
      </c>
      <c r="AA30" s="35">
        <f t="shared" si="73"/>
        <v>260</v>
      </c>
      <c r="AB30" s="34">
        <f t="shared" ref="AB30:AB34" si="76">$B$3</f>
        <v>260</v>
      </c>
      <c r="AC30" s="56">
        <f t="shared" si="38"/>
        <v>200</v>
      </c>
      <c r="AD30" s="87">
        <f t="shared" si="38"/>
        <v>200</v>
      </c>
      <c r="AE30" s="73">
        <f t="shared" si="38"/>
        <v>200</v>
      </c>
      <c r="AF30" s="2" t="s">
        <v>33</v>
      </c>
      <c r="AG30" s="9">
        <v>0.6</v>
      </c>
      <c r="AH30" s="10">
        <v>1.5</v>
      </c>
      <c r="AI30" s="10">
        <v>2.2999999999999998</v>
      </c>
      <c r="AJ30" s="10">
        <v>3.2</v>
      </c>
      <c r="AK30" s="10">
        <v>3.9</v>
      </c>
      <c r="AL30" s="12">
        <v>4.9000000000000004</v>
      </c>
    </row>
    <row r="31" spans="2:38" ht="12.75" thickBot="1" x14ac:dyDescent="0.2">
      <c r="B31" s="181"/>
      <c r="D31" s="24">
        <f t="shared" si="55"/>
        <v>330</v>
      </c>
      <c r="E31" s="51">
        <f t="shared" si="62"/>
        <v>330</v>
      </c>
      <c r="F31" s="69">
        <f t="shared" si="69"/>
        <v>330</v>
      </c>
      <c r="G31" s="50">
        <f t="shared" ref="G31:G35" si="77">$B$5</f>
        <v>330</v>
      </c>
      <c r="H31" s="49">
        <f t="shared" si="56"/>
        <v>300</v>
      </c>
      <c r="I31" s="48">
        <f t="shared" si="63"/>
        <v>300</v>
      </c>
      <c r="J31" s="96">
        <f t="shared" si="70"/>
        <v>300</v>
      </c>
      <c r="K31" s="102" t="s">
        <v>25</v>
      </c>
      <c r="L31" s="66">
        <f t="shared" si="71"/>
        <v>300</v>
      </c>
      <c r="M31" s="48">
        <f t="shared" si="64"/>
        <v>300</v>
      </c>
      <c r="N31" s="117">
        <f t="shared" si="65"/>
        <v>300</v>
      </c>
      <c r="O31" s="118">
        <f t="shared" ref="O31:O35" si="78">$B$5</f>
        <v>330</v>
      </c>
      <c r="P31" s="139">
        <f t="shared" si="66"/>
        <v>330</v>
      </c>
      <c r="Q31" s="61">
        <f t="shared" si="72"/>
        <v>300</v>
      </c>
      <c r="R31" s="39">
        <f t="shared" si="67"/>
        <v>300</v>
      </c>
      <c r="S31" s="150">
        <f t="shared" si="59"/>
        <v>300</v>
      </c>
      <c r="T31" s="118">
        <f t="shared" ref="T31:V31" si="79">$B$5</f>
        <v>330</v>
      </c>
      <c r="U31" s="51">
        <f t="shared" si="79"/>
        <v>330</v>
      </c>
      <c r="V31" s="139">
        <f t="shared" si="79"/>
        <v>330</v>
      </c>
      <c r="W31" s="158">
        <f t="shared" si="75"/>
        <v>300</v>
      </c>
      <c r="X31" s="37">
        <f t="shared" si="60"/>
        <v>260</v>
      </c>
      <c r="Y31" s="108">
        <f t="shared" si="61"/>
        <v>260</v>
      </c>
      <c r="Z31" s="35">
        <f t="shared" si="68"/>
        <v>260</v>
      </c>
      <c r="AA31" s="35">
        <f t="shared" si="73"/>
        <v>260</v>
      </c>
      <c r="AB31" s="35">
        <f t="shared" si="76"/>
        <v>260</v>
      </c>
      <c r="AC31" s="34">
        <f t="shared" ref="AC31:AC35" si="80">$B$3</f>
        <v>260</v>
      </c>
      <c r="AD31" s="88">
        <f t="shared" si="38"/>
        <v>200</v>
      </c>
      <c r="AE31" s="87">
        <f t="shared" si="38"/>
        <v>200</v>
      </c>
      <c r="AF31" s="73">
        <f t="shared" si="38"/>
        <v>200</v>
      </c>
      <c r="AG31" s="2" t="s">
        <v>34</v>
      </c>
      <c r="AH31" s="9">
        <v>0.9</v>
      </c>
      <c r="AI31" s="10">
        <v>1.7</v>
      </c>
      <c r="AJ31" s="10">
        <v>2.6</v>
      </c>
      <c r="AK31" s="10">
        <v>3.3</v>
      </c>
      <c r="AL31" s="11">
        <v>4.3</v>
      </c>
    </row>
    <row r="32" spans="2:38" ht="12.75" thickBot="1" x14ac:dyDescent="0.2">
      <c r="B32" s="181"/>
      <c r="D32" s="30">
        <f t="shared" ref="D32:D35" si="81">$B$6</f>
        <v>350</v>
      </c>
      <c r="E32" s="52">
        <f t="shared" si="62"/>
        <v>330</v>
      </c>
      <c r="F32" s="69">
        <f t="shared" si="69"/>
        <v>330</v>
      </c>
      <c r="G32" s="51">
        <f t="shared" si="77"/>
        <v>330</v>
      </c>
      <c r="H32" s="50">
        <f t="shared" ref="H32:H36" si="82">$B$5</f>
        <v>330</v>
      </c>
      <c r="I32" s="49">
        <f t="shared" si="63"/>
        <v>300</v>
      </c>
      <c r="J32" s="96">
        <f t="shared" si="70"/>
        <v>300</v>
      </c>
      <c r="K32" s="102" t="s">
        <v>18</v>
      </c>
      <c r="L32" s="66">
        <f t="shared" si="71"/>
        <v>300</v>
      </c>
      <c r="M32" s="117">
        <f t="shared" si="64"/>
        <v>300</v>
      </c>
      <c r="N32" s="118">
        <f>$B$5</f>
        <v>330</v>
      </c>
      <c r="O32" s="51">
        <f t="shared" si="78"/>
        <v>330</v>
      </c>
      <c r="P32" s="140">
        <f t="shared" si="66"/>
        <v>330</v>
      </c>
      <c r="Q32" s="61">
        <f t="shared" si="72"/>
        <v>300</v>
      </c>
      <c r="R32" s="150">
        <f t="shared" si="67"/>
        <v>300</v>
      </c>
      <c r="S32" s="118">
        <f t="shared" ref="S32:V33" si="83">$B$5</f>
        <v>330</v>
      </c>
      <c r="T32" s="51">
        <f t="shared" si="83"/>
        <v>330</v>
      </c>
      <c r="U32" s="51">
        <f t="shared" si="83"/>
        <v>330</v>
      </c>
      <c r="V32" s="139">
        <f t="shared" si="83"/>
        <v>330</v>
      </c>
      <c r="W32" s="61">
        <f t="shared" si="75"/>
        <v>300</v>
      </c>
      <c r="X32" s="160">
        <f t="shared" ref="X32:X35" si="84">$B$4</f>
        <v>300</v>
      </c>
      <c r="Y32" s="38">
        <f t="shared" ref="Y32:Y36" si="85">$B$4</f>
        <v>300</v>
      </c>
      <c r="Z32" s="59">
        <f t="shared" si="68"/>
        <v>260</v>
      </c>
      <c r="AA32" s="83">
        <f t="shared" si="73"/>
        <v>260</v>
      </c>
      <c r="AB32" s="35">
        <f t="shared" si="76"/>
        <v>260</v>
      </c>
      <c r="AC32" s="35">
        <f t="shared" si="80"/>
        <v>260</v>
      </c>
      <c r="AD32" s="34">
        <f t="shared" ref="AD32:AD36" si="86">$B$3</f>
        <v>260</v>
      </c>
      <c r="AE32" s="56">
        <f t="shared" si="38"/>
        <v>200</v>
      </c>
      <c r="AF32" s="87">
        <f t="shared" si="38"/>
        <v>200</v>
      </c>
      <c r="AG32" s="73">
        <f t="shared" si="38"/>
        <v>200</v>
      </c>
      <c r="AH32" s="2" t="s">
        <v>35</v>
      </c>
      <c r="AI32" s="9">
        <v>0.8</v>
      </c>
      <c r="AJ32" s="10">
        <v>1.7</v>
      </c>
      <c r="AK32" s="10">
        <v>2.4</v>
      </c>
      <c r="AL32" s="12">
        <v>3.4</v>
      </c>
    </row>
    <row r="33" spans="2:38" ht="12.75" thickBot="1" x14ac:dyDescent="0.2">
      <c r="B33" s="181"/>
      <c r="D33" s="31">
        <f t="shared" si="81"/>
        <v>350</v>
      </c>
      <c r="E33" s="53">
        <f t="shared" ref="E33:E36" si="87">$B$6</f>
        <v>350</v>
      </c>
      <c r="F33" s="52">
        <f t="shared" si="69"/>
        <v>330</v>
      </c>
      <c r="G33" s="51">
        <f t="shared" si="77"/>
        <v>330</v>
      </c>
      <c r="H33" s="51">
        <f t="shared" si="82"/>
        <v>330</v>
      </c>
      <c r="I33" s="50">
        <f t="shared" ref="I33:I36" si="88">$B$5</f>
        <v>330</v>
      </c>
      <c r="J33" s="97">
        <f t="shared" si="70"/>
        <v>300</v>
      </c>
      <c r="K33" s="102" t="s">
        <v>18</v>
      </c>
      <c r="L33" s="97">
        <f t="shared" si="71"/>
        <v>300</v>
      </c>
      <c r="M33" s="118">
        <f>$B$5</f>
        <v>330</v>
      </c>
      <c r="N33" s="51">
        <f>$B$5</f>
        <v>330</v>
      </c>
      <c r="O33" s="99">
        <f t="shared" si="78"/>
        <v>330</v>
      </c>
      <c r="P33" s="30">
        <f t="shared" ref="P33:P35" si="89">$B$6</f>
        <v>350</v>
      </c>
      <c r="Q33" s="148">
        <f t="shared" si="72"/>
        <v>300</v>
      </c>
      <c r="R33" s="118">
        <f t="shared" ref="R33:S36" si="90">$B$5</f>
        <v>330</v>
      </c>
      <c r="S33" s="51">
        <f t="shared" si="83"/>
        <v>330</v>
      </c>
      <c r="T33" s="51">
        <f t="shared" si="83"/>
        <v>330</v>
      </c>
      <c r="U33" s="51">
        <f t="shared" si="83"/>
        <v>330</v>
      </c>
      <c r="V33" s="140">
        <f t="shared" si="83"/>
        <v>330</v>
      </c>
      <c r="W33" s="61">
        <f t="shared" si="75"/>
        <v>300</v>
      </c>
      <c r="X33" s="39">
        <f t="shared" si="84"/>
        <v>300</v>
      </c>
      <c r="Y33" s="39">
        <f t="shared" si="85"/>
        <v>300</v>
      </c>
      <c r="Z33" s="38">
        <f t="shared" ref="Z33:Z36" si="91">$B$4</f>
        <v>300</v>
      </c>
      <c r="AA33" s="59">
        <f t="shared" si="73"/>
        <v>260</v>
      </c>
      <c r="AB33" s="35">
        <f t="shared" si="76"/>
        <v>260</v>
      </c>
      <c r="AC33" s="35">
        <f t="shared" si="80"/>
        <v>260</v>
      </c>
      <c r="AD33" s="35">
        <f t="shared" si="86"/>
        <v>260</v>
      </c>
      <c r="AE33" s="34">
        <f t="shared" ref="AE33:AE36" si="92">$B$3</f>
        <v>260</v>
      </c>
      <c r="AF33" s="56">
        <f t="shared" si="38"/>
        <v>200</v>
      </c>
      <c r="AG33" s="87">
        <f t="shared" si="38"/>
        <v>200</v>
      </c>
      <c r="AH33" s="73">
        <f t="shared" si="38"/>
        <v>200</v>
      </c>
      <c r="AI33" s="2" t="s">
        <v>36</v>
      </c>
      <c r="AJ33" s="9">
        <v>0.9</v>
      </c>
      <c r="AK33" s="10">
        <v>1.6</v>
      </c>
      <c r="AL33" s="11">
        <v>2.6</v>
      </c>
    </row>
    <row r="34" spans="2:38" ht="12.75" thickBot="1" x14ac:dyDescent="0.2">
      <c r="B34" s="181"/>
      <c r="D34" s="31">
        <f t="shared" si="81"/>
        <v>350</v>
      </c>
      <c r="E34" s="54">
        <f t="shared" si="87"/>
        <v>350</v>
      </c>
      <c r="F34" s="70">
        <f t="shared" ref="F34:F36" si="93">$B$6</f>
        <v>350</v>
      </c>
      <c r="G34" s="69">
        <f t="shared" si="77"/>
        <v>330</v>
      </c>
      <c r="H34" s="51">
        <f t="shared" si="82"/>
        <v>330</v>
      </c>
      <c r="I34" s="51">
        <f t="shared" si="88"/>
        <v>330</v>
      </c>
      <c r="J34" s="98">
        <f t="shared" ref="J34:J36" si="94">$B$5</f>
        <v>330</v>
      </c>
      <c r="K34" s="102" t="s">
        <v>18</v>
      </c>
      <c r="L34" s="111">
        <f t="shared" ref="L34:N36" si="95">$B$5</f>
        <v>330</v>
      </c>
      <c r="M34" s="51">
        <f t="shared" si="95"/>
        <v>330</v>
      </c>
      <c r="N34" s="51">
        <f t="shared" si="95"/>
        <v>330</v>
      </c>
      <c r="O34" s="99">
        <f t="shared" si="78"/>
        <v>330</v>
      </c>
      <c r="P34" s="141">
        <f t="shared" si="89"/>
        <v>350</v>
      </c>
      <c r="Q34" s="111">
        <f t="shared" ref="Q34:Q36" si="96">$B$5</f>
        <v>330</v>
      </c>
      <c r="R34" s="51">
        <f t="shared" si="90"/>
        <v>330</v>
      </c>
      <c r="S34" s="51">
        <f t="shared" si="90"/>
        <v>330</v>
      </c>
      <c r="T34" s="51">
        <f t="shared" ref="T34:U34" si="97">$B$5</f>
        <v>330</v>
      </c>
      <c r="U34" s="130">
        <f t="shared" si="97"/>
        <v>330</v>
      </c>
      <c r="V34" s="30">
        <f t="shared" ref="V34" si="98">$B$6</f>
        <v>350</v>
      </c>
      <c r="W34" s="61">
        <f t="shared" si="75"/>
        <v>300</v>
      </c>
      <c r="X34" s="39">
        <f t="shared" si="84"/>
        <v>300</v>
      </c>
      <c r="Y34" s="39">
        <f t="shared" si="85"/>
        <v>300</v>
      </c>
      <c r="Z34" s="39">
        <f t="shared" si="91"/>
        <v>300</v>
      </c>
      <c r="AA34" s="38">
        <f t="shared" ref="AA34:AA36" si="99">$B$4</f>
        <v>300</v>
      </c>
      <c r="AB34" s="59">
        <f t="shared" si="76"/>
        <v>260</v>
      </c>
      <c r="AC34" s="35">
        <f t="shared" si="80"/>
        <v>260</v>
      </c>
      <c r="AD34" s="35">
        <f t="shared" si="86"/>
        <v>260</v>
      </c>
      <c r="AE34" s="35">
        <f t="shared" si="92"/>
        <v>260</v>
      </c>
      <c r="AF34" s="34">
        <f t="shared" ref="AF34:AF36" si="100">$B$3</f>
        <v>260</v>
      </c>
      <c r="AG34" s="56">
        <f t="shared" si="38"/>
        <v>200</v>
      </c>
      <c r="AH34" s="87">
        <f t="shared" si="38"/>
        <v>200</v>
      </c>
      <c r="AI34" s="73">
        <f t="shared" si="38"/>
        <v>200</v>
      </c>
      <c r="AJ34" s="2" t="s">
        <v>37</v>
      </c>
      <c r="AK34" s="9">
        <v>0.7</v>
      </c>
      <c r="AL34" s="12">
        <v>1.7</v>
      </c>
    </row>
    <row r="35" spans="2:38" ht="12.75" thickBot="1" x14ac:dyDescent="0.2">
      <c r="B35" s="181"/>
      <c r="D35" s="32">
        <f t="shared" si="81"/>
        <v>350</v>
      </c>
      <c r="E35" s="54">
        <f t="shared" si="87"/>
        <v>350</v>
      </c>
      <c r="F35" s="71">
        <f t="shared" si="93"/>
        <v>350</v>
      </c>
      <c r="G35" s="52">
        <f t="shared" si="77"/>
        <v>330</v>
      </c>
      <c r="H35" s="85">
        <f t="shared" si="82"/>
        <v>330</v>
      </c>
      <c r="I35" s="51">
        <f t="shared" si="88"/>
        <v>330</v>
      </c>
      <c r="J35" s="99">
        <f t="shared" si="94"/>
        <v>330</v>
      </c>
      <c r="K35" s="102" t="s">
        <v>18</v>
      </c>
      <c r="L35" s="69">
        <f t="shared" si="95"/>
        <v>330</v>
      </c>
      <c r="M35" s="51">
        <f t="shared" si="95"/>
        <v>330</v>
      </c>
      <c r="N35" s="85">
        <f t="shared" si="95"/>
        <v>330</v>
      </c>
      <c r="O35" s="130">
        <f t="shared" si="78"/>
        <v>330</v>
      </c>
      <c r="P35" s="141">
        <f t="shared" si="89"/>
        <v>350</v>
      </c>
      <c r="Q35" s="69">
        <f t="shared" si="96"/>
        <v>330</v>
      </c>
      <c r="R35" s="51">
        <f t="shared" si="90"/>
        <v>330</v>
      </c>
      <c r="S35" s="85">
        <f t="shared" si="90"/>
        <v>330</v>
      </c>
      <c r="T35" s="130">
        <f>$B$5</f>
        <v>330</v>
      </c>
      <c r="U35" s="152">
        <f t="shared" ref="U35:V35" si="101">$B$6</f>
        <v>350</v>
      </c>
      <c r="V35" s="156">
        <f t="shared" si="101"/>
        <v>350</v>
      </c>
      <c r="W35" s="43">
        <f t="shared" si="75"/>
        <v>300</v>
      </c>
      <c r="X35" s="40">
        <f t="shared" si="84"/>
        <v>300</v>
      </c>
      <c r="Y35" s="151">
        <f t="shared" si="85"/>
        <v>300</v>
      </c>
      <c r="Z35" s="39">
        <f t="shared" si="91"/>
        <v>300</v>
      </c>
      <c r="AA35" s="39">
        <f t="shared" si="99"/>
        <v>300</v>
      </c>
      <c r="AB35" s="38">
        <f t="shared" ref="AB35:AB36" si="102">$B$4</f>
        <v>300</v>
      </c>
      <c r="AC35" s="59">
        <f t="shared" si="80"/>
        <v>260</v>
      </c>
      <c r="AD35" s="35">
        <f t="shared" si="86"/>
        <v>260</v>
      </c>
      <c r="AE35" s="35">
        <f t="shared" si="92"/>
        <v>260</v>
      </c>
      <c r="AF35" s="35">
        <f t="shared" si="100"/>
        <v>260</v>
      </c>
      <c r="AG35" s="34">
        <f t="shared" ref="AG35:AG36" si="103">$B$3</f>
        <v>260</v>
      </c>
      <c r="AH35" s="56">
        <f t="shared" si="38"/>
        <v>200</v>
      </c>
      <c r="AI35" s="87">
        <f t="shared" si="38"/>
        <v>200</v>
      </c>
      <c r="AJ35" s="73">
        <f t="shared" si="38"/>
        <v>200</v>
      </c>
      <c r="AK35" s="2" t="s">
        <v>38</v>
      </c>
      <c r="AL35" s="15">
        <v>1</v>
      </c>
    </row>
    <row r="36" spans="2:38" ht="12.75" thickBot="1" x14ac:dyDescent="0.2">
      <c r="B36" s="181"/>
      <c r="D36" s="33">
        <f>$B$7</f>
        <v>370</v>
      </c>
      <c r="E36" s="55">
        <f t="shared" si="87"/>
        <v>350</v>
      </c>
      <c r="F36" s="72">
        <f t="shared" si="93"/>
        <v>350</v>
      </c>
      <c r="G36" s="77">
        <f>$B$6</f>
        <v>350</v>
      </c>
      <c r="H36" s="86">
        <f t="shared" si="82"/>
        <v>330</v>
      </c>
      <c r="I36" s="119">
        <f t="shared" si="88"/>
        <v>330</v>
      </c>
      <c r="J36" s="100">
        <f t="shared" si="94"/>
        <v>330</v>
      </c>
      <c r="K36" s="103" t="s">
        <v>23</v>
      </c>
      <c r="L36" s="86">
        <f t="shared" si="95"/>
        <v>330</v>
      </c>
      <c r="M36" s="119">
        <f t="shared" si="95"/>
        <v>330</v>
      </c>
      <c r="N36" s="100">
        <f t="shared" si="95"/>
        <v>330</v>
      </c>
      <c r="O36" s="131">
        <f t="shared" ref="O36:P36" si="104">$B$6</f>
        <v>350</v>
      </c>
      <c r="P36" s="142">
        <f t="shared" si="104"/>
        <v>350</v>
      </c>
      <c r="Q36" s="86">
        <f t="shared" si="96"/>
        <v>330</v>
      </c>
      <c r="R36" s="119">
        <f t="shared" si="90"/>
        <v>330</v>
      </c>
      <c r="S36" s="100">
        <f t="shared" si="90"/>
        <v>330</v>
      </c>
      <c r="T36" s="131">
        <f t="shared" ref="T36:V36" si="105">$B$6</f>
        <v>350</v>
      </c>
      <c r="U36" s="72">
        <f t="shared" si="105"/>
        <v>350</v>
      </c>
      <c r="V36" s="157">
        <f t="shared" si="105"/>
        <v>350</v>
      </c>
      <c r="W36" s="159">
        <f t="shared" ref="W36:X36" si="106">$B$5</f>
        <v>330</v>
      </c>
      <c r="X36" s="161">
        <f t="shared" si="106"/>
        <v>330</v>
      </c>
      <c r="Y36" s="162">
        <f t="shared" si="85"/>
        <v>300</v>
      </c>
      <c r="Z36" s="163">
        <f t="shared" si="91"/>
        <v>300</v>
      </c>
      <c r="AA36" s="163">
        <f t="shared" si="99"/>
        <v>300</v>
      </c>
      <c r="AB36" s="163">
        <f t="shared" si="102"/>
        <v>300</v>
      </c>
      <c r="AC36" s="164">
        <f>$B$4</f>
        <v>300</v>
      </c>
      <c r="AD36" s="165">
        <f t="shared" si="86"/>
        <v>260</v>
      </c>
      <c r="AE36" s="172">
        <f t="shared" si="92"/>
        <v>260</v>
      </c>
      <c r="AF36" s="172">
        <f t="shared" si="100"/>
        <v>260</v>
      </c>
      <c r="AG36" s="172">
        <f t="shared" si="103"/>
        <v>260</v>
      </c>
      <c r="AH36" s="173">
        <f>$B$3</f>
        <v>260</v>
      </c>
      <c r="AI36" s="174">
        <f t="shared" si="38"/>
        <v>200</v>
      </c>
      <c r="AJ36" s="175">
        <f t="shared" si="38"/>
        <v>200</v>
      </c>
      <c r="AK36" s="176">
        <f>$B$2</f>
        <v>200</v>
      </c>
      <c r="AL36" s="2" t="s">
        <v>39</v>
      </c>
    </row>
    <row r="41" spans="2:38" ht="12.75" thickBot="1" x14ac:dyDescent="0.2"/>
    <row r="42" spans="2:38" ht="12.75" thickBot="1" x14ac:dyDescent="0.2">
      <c r="D42" s="1" t="s">
        <v>50</v>
      </c>
      <c r="F42" s="179">
        <v>35</v>
      </c>
    </row>
  </sheetData>
  <dataConsolidate/>
  <mergeCells count="1">
    <mergeCell ref="B8:B36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defaultSize="0" autoLine="0" r:id="rId5">
            <anchor moveWithCells="1">
              <from>
                <xdr:col>30</xdr:col>
                <xdr:colOff>276225</xdr:colOff>
                <xdr:row>39</xdr:row>
                <xdr:rowOff>28575</xdr:rowOff>
              </from>
              <to>
                <xdr:col>37</xdr:col>
                <xdr:colOff>285750</xdr:colOff>
                <xdr:row>46</xdr:row>
                <xdr:rowOff>28575</xdr:rowOff>
              </to>
            </anchor>
          </controlPr>
        </control>
      </mc:Choice>
      <mc:Fallback>
        <control shapeId="1026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2</vt:i4>
      </vt:variant>
    </vt:vector>
  </HeadingPairs>
  <TitlesOfParts>
    <vt:vector size="3" baseType="lpstr">
      <vt:lpstr>運賃表入力用</vt:lpstr>
      <vt:lpstr>駅の数</vt:lpstr>
      <vt:lpstr>区の数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桑山雅行</cp:lastModifiedBy>
  <dcterms:created xsi:type="dcterms:W3CDTF">2006-09-16T00:00:00Z</dcterms:created>
  <dcterms:modified xsi:type="dcterms:W3CDTF">2019-03-20T12:50:25Z</dcterms:modified>
  <cp:contentStatus/>
</cp:coreProperties>
</file>